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vasu\Downloads\"/>
    </mc:Choice>
  </mc:AlternateContent>
  <xr:revisionPtr revIDLastSave="0" documentId="13_ncr:1_{30FFC2C4-0791-4D48-AB2A-69E29572F35A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Financials&gt;" sheetId="8" r:id="rId1"/>
    <sheet name="HistoricalsFS" sheetId="9" r:id="rId2"/>
    <sheet name="Basic Forecasting" sheetId="13" r:id="rId3"/>
    <sheet name="Ratio Analysis" sheetId="12" r:id="rId4"/>
    <sheet name="DCF&gt;&gt;&gt;" sheetId="17" r:id="rId5"/>
    <sheet name="DCF" sheetId="21" r:id="rId6"/>
    <sheet name="WACC" sheetId="18" r:id="rId7"/>
    <sheet name="Intrinsic Growth" sheetId="20" r:id="rId8"/>
    <sheet name="RM" sheetId="23" r:id="rId9"/>
    <sheet name="Data Room&gt;&gt;&gt;" sheetId="10" r:id="rId10"/>
    <sheet name="Data Sheet" sheetId="6" r:id="rId11"/>
    <sheet name="Raw FS" sheetId="16" r:id="rId12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9" l="1"/>
  <c r="J36" i="18"/>
  <c r="E20" i="18"/>
  <c r="J37" i="18"/>
  <c r="J34" i="18"/>
  <c r="E18" i="18"/>
  <c r="H5" i="23"/>
  <c r="H7" i="23" s="1"/>
  <c r="J19" i="18" s="1"/>
  <c r="J21" i="18" s="1"/>
  <c r="J33" i="18" s="1"/>
  <c r="J39" i="18" s="1"/>
  <c r="E16" i="21" s="1"/>
  <c r="J20" i="18"/>
  <c r="E19" i="18"/>
  <c r="J29" i="18"/>
  <c r="J28" i="18"/>
  <c r="J27" i="18"/>
  <c r="E31" i="18"/>
  <c r="D31" i="18"/>
  <c r="E28" i="18"/>
  <c r="D29" i="18"/>
  <c r="D28" i="18"/>
  <c r="D27" i="18"/>
  <c r="C29" i="18"/>
  <c r="C28" i="18"/>
  <c r="C27" i="18"/>
  <c r="E27" i="18"/>
  <c r="H13" i="18"/>
  <c r="J26" i="18"/>
  <c r="J13" i="18"/>
  <c r="I13" i="18"/>
  <c r="G13" i="18"/>
  <c r="J12" i="18"/>
  <c r="I12" i="18"/>
  <c r="H12" i="18"/>
  <c r="G12" i="18"/>
  <c r="F13" i="18"/>
  <c r="F12" i="18"/>
  <c r="J10" i="18"/>
  <c r="J9" i="18"/>
  <c r="J8" i="18"/>
  <c r="J7" i="18"/>
  <c r="J6" i="18"/>
  <c r="H10" i="18"/>
  <c r="H9" i="18"/>
  <c r="H8" i="18"/>
  <c r="H7" i="18"/>
  <c r="H6" i="18"/>
  <c r="G10" i="18"/>
  <c r="G9" i="18"/>
  <c r="G8" i="18"/>
  <c r="G7" i="18"/>
  <c r="G6" i="18"/>
  <c r="D37" i="21"/>
  <c r="D35" i="21"/>
  <c r="D34" i="21"/>
  <c r="D23" i="21"/>
  <c r="G9" i="21"/>
  <c r="D22" i="21" l="1"/>
  <c r="F10" i="21"/>
  <c r="G10" i="21"/>
  <c r="H9" i="21"/>
  <c r="I9" i="21" s="1"/>
  <c r="J9" i="21" s="1"/>
  <c r="J10" i="21" s="1"/>
  <c r="I10" i="21" l="1"/>
  <c r="H10" i="21"/>
  <c r="E14" i="21" l="1"/>
  <c r="E7" i="21"/>
  <c r="F7" i="21" s="1"/>
  <c r="G7" i="21" s="1"/>
  <c r="H7" i="21" s="1"/>
  <c r="I7" i="21" s="1"/>
  <c r="E4" i="21"/>
  <c r="K43" i="20"/>
  <c r="J43" i="20"/>
  <c r="I43" i="20"/>
  <c r="H43" i="20"/>
  <c r="G43" i="20"/>
  <c r="K31" i="20"/>
  <c r="J31" i="20"/>
  <c r="I31" i="20"/>
  <c r="H31" i="20"/>
  <c r="G31" i="20"/>
  <c r="K28" i="20"/>
  <c r="J28" i="20"/>
  <c r="I28" i="20"/>
  <c r="H28" i="20"/>
  <c r="K27" i="20"/>
  <c r="J27" i="20"/>
  <c r="I27" i="20"/>
  <c r="H27" i="20"/>
  <c r="K26" i="20"/>
  <c r="J26" i="20"/>
  <c r="I26" i="20"/>
  <c r="H26" i="20"/>
  <c r="K25" i="20"/>
  <c r="J25" i="20"/>
  <c r="I25" i="20"/>
  <c r="H25" i="20"/>
  <c r="K24" i="20"/>
  <c r="J24" i="20"/>
  <c r="I24" i="20"/>
  <c r="H24" i="20"/>
  <c r="K23" i="20"/>
  <c r="J23" i="20"/>
  <c r="I23" i="20"/>
  <c r="H23" i="20"/>
  <c r="K22" i="20"/>
  <c r="J22" i="20"/>
  <c r="I22" i="20"/>
  <c r="H22" i="20"/>
  <c r="G28" i="20"/>
  <c r="G27" i="20"/>
  <c r="G26" i="20"/>
  <c r="G25" i="20"/>
  <c r="G24" i="20"/>
  <c r="G23" i="20"/>
  <c r="G22" i="20"/>
  <c r="K21" i="20"/>
  <c r="J21" i="20"/>
  <c r="I21" i="20"/>
  <c r="H21" i="20"/>
  <c r="G21" i="20"/>
  <c r="B31" i="20"/>
  <c r="B30" i="20"/>
  <c r="B28" i="20"/>
  <c r="B27" i="20"/>
  <c r="B26" i="20"/>
  <c r="B25" i="20"/>
  <c r="B24" i="20"/>
  <c r="B23" i="20"/>
  <c r="B22" i="20"/>
  <c r="B21" i="20"/>
  <c r="K15" i="20"/>
  <c r="J15" i="20"/>
  <c r="I15" i="20"/>
  <c r="H15" i="20"/>
  <c r="K14" i="20"/>
  <c r="J14" i="20"/>
  <c r="I14" i="20"/>
  <c r="H14" i="20"/>
  <c r="K13" i="20"/>
  <c r="J13" i="20"/>
  <c r="I13" i="20"/>
  <c r="H13" i="20"/>
  <c r="B15" i="20"/>
  <c r="B14" i="20"/>
  <c r="B13" i="20"/>
  <c r="G15" i="20"/>
  <c r="G14" i="20"/>
  <c r="G13" i="20"/>
  <c r="K9" i="20"/>
  <c r="J9" i="20"/>
  <c r="I9" i="20"/>
  <c r="H9" i="20"/>
  <c r="K8" i="20"/>
  <c r="J8" i="20"/>
  <c r="I8" i="20"/>
  <c r="H8" i="20"/>
  <c r="K7" i="20"/>
  <c r="J7" i="20"/>
  <c r="I7" i="20"/>
  <c r="H7" i="20"/>
  <c r="K6" i="20"/>
  <c r="J6" i="20"/>
  <c r="I6" i="20"/>
  <c r="H6" i="20"/>
  <c r="G9" i="20"/>
  <c r="G8" i="20"/>
  <c r="G7" i="20"/>
  <c r="G6" i="20"/>
  <c r="B9" i="20"/>
  <c r="B8" i="20"/>
  <c r="B7" i="20"/>
  <c r="B6" i="20"/>
  <c r="N29" i="16"/>
  <c r="M29" i="16"/>
  <c r="L29" i="16"/>
  <c r="K29" i="16"/>
  <c r="J29" i="16"/>
  <c r="I29" i="16"/>
  <c r="H29" i="16"/>
  <c r="G29" i="16"/>
  <c r="F29" i="16"/>
  <c r="E29" i="16"/>
  <c r="D29" i="16"/>
  <c r="C29" i="16"/>
  <c r="K57" i="20"/>
  <c r="J57" i="20"/>
  <c r="I57" i="20"/>
  <c r="H57" i="20"/>
  <c r="G57" i="20"/>
  <c r="K41" i="20"/>
  <c r="J41" i="20"/>
  <c r="I41" i="20"/>
  <c r="H41" i="20"/>
  <c r="G41" i="20"/>
  <c r="K3" i="20"/>
  <c r="E2" i="21" s="1"/>
  <c r="F2" i="21" s="1"/>
  <c r="G2" i="21" s="1"/>
  <c r="H2" i="21" s="1"/>
  <c r="I2" i="21" s="1"/>
  <c r="J2" i="21" s="1"/>
  <c r="J3" i="20"/>
  <c r="I3" i="20"/>
  <c r="H3" i="20"/>
  <c r="G3" i="20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C4" i="13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G2" i="13"/>
  <c r="B2" i="13"/>
  <c r="J41" i="12"/>
  <c r="I41" i="12"/>
  <c r="E41" i="12"/>
  <c r="L39" i="12"/>
  <c r="J39" i="12"/>
  <c r="D39" i="12"/>
  <c r="C41" i="12"/>
  <c r="D35" i="12"/>
  <c r="L9" i="12"/>
  <c r="G9" i="12"/>
  <c r="E9" i="12"/>
  <c r="D9" i="12"/>
  <c r="H31" i="12"/>
  <c r="L30" i="12"/>
  <c r="K30" i="12"/>
  <c r="J30" i="12"/>
  <c r="D30" i="12"/>
  <c r="L29" i="12"/>
  <c r="L36" i="12" s="1"/>
  <c r="H29" i="12"/>
  <c r="H36" i="12" s="1"/>
  <c r="D29" i="12"/>
  <c r="D36" i="12" s="1"/>
  <c r="J28" i="12"/>
  <c r="J35" i="12" s="1"/>
  <c r="H28" i="12"/>
  <c r="H35" i="12" s="1"/>
  <c r="J74" i="9"/>
  <c r="I74" i="9"/>
  <c r="E74" i="9"/>
  <c r="L73" i="9"/>
  <c r="K73" i="9"/>
  <c r="J73" i="9"/>
  <c r="I73" i="9"/>
  <c r="H73" i="9"/>
  <c r="G73" i="9"/>
  <c r="F73" i="9"/>
  <c r="E73" i="9"/>
  <c r="D73" i="9"/>
  <c r="C73" i="9"/>
  <c r="L72" i="9"/>
  <c r="K72" i="9"/>
  <c r="J72" i="9"/>
  <c r="I72" i="9"/>
  <c r="H72" i="9"/>
  <c r="G72" i="9"/>
  <c r="F72" i="9"/>
  <c r="E72" i="9"/>
  <c r="D72" i="9"/>
  <c r="C72" i="9"/>
  <c r="L71" i="9"/>
  <c r="L41" i="12" s="1"/>
  <c r="K71" i="9"/>
  <c r="J71" i="9"/>
  <c r="I71" i="9"/>
  <c r="H71" i="9"/>
  <c r="G71" i="9"/>
  <c r="F71" i="9"/>
  <c r="F41" i="12" s="1"/>
  <c r="E71" i="9"/>
  <c r="D71" i="9"/>
  <c r="D41" i="12" s="1"/>
  <c r="C71" i="9"/>
  <c r="J63" i="9"/>
  <c r="I63" i="9"/>
  <c r="E63" i="9"/>
  <c r="L62" i="9"/>
  <c r="K62" i="9"/>
  <c r="J62" i="9"/>
  <c r="I62" i="9"/>
  <c r="H62" i="9"/>
  <c r="G62" i="9"/>
  <c r="F62" i="9"/>
  <c r="E62" i="9"/>
  <c r="D62" i="9"/>
  <c r="C62" i="9"/>
  <c r="L61" i="9"/>
  <c r="K61" i="9"/>
  <c r="J61" i="9"/>
  <c r="I61" i="9"/>
  <c r="H61" i="9"/>
  <c r="G61" i="9"/>
  <c r="F61" i="9"/>
  <c r="E61" i="9"/>
  <c r="D61" i="9"/>
  <c r="C61" i="9"/>
  <c r="L60" i="9"/>
  <c r="L63" i="9" s="1"/>
  <c r="K60" i="9"/>
  <c r="J60" i="9"/>
  <c r="I60" i="9"/>
  <c r="I27" i="12" s="1"/>
  <c r="I34" i="12" s="1"/>
  <c r="H60" i="9"/>
  <c r="H63" i="9" s="1"/>
  <c r="G60" i="9"/>
  <c r="G63" i="9" s="1"/>
  <c r="F60" i="9"/>
  <c r="E60" i="9"/>
  <c r="D60" i="9"/>
  <c r="D63" i="9" s="1"/>
  <c r="C60" i="9"/>
  <c r="J58" i="9"/>
  <c r="L57" i="9"/>
  <c r="K57" i="9"/>
  <c r="J57" i="9"/>
  <c r="I57" i="9"/>
  <c r="H57" i="9"/>
  <c r="G57" i="9"/>
  <c r="F57" i="9"/>
  <c r="E57" i="9"/>
  <c r="D57" i="9"/>
  <c r="C57" i="9"/>
  <c r="L56" i="9"/>
  <c r="K56" i="9"/>
  <c r="J56" i="9"/>
  <c r="I56" i="9"/>
  <c r="I58" i="9" s="1"/>
  <c r="H56" i="9"/>
  <c r="G56" i="9"/>
  <c r="F56" i="9"/>
  <c r="E56" i="9"/>
  <c r="D56" i="9"/>
  <c r="C56" i="9"/>
  <c r="L55" i="9"/>
  <c r="K55" i="9"/>
  <c r="J55" i="9"/>
  <c r="I55" i="9"/>
  <c r="H55" i="9"/>
  <c r="G55" i="9"/>
  <c r="F55" i="9"/>
  <c r="E55" i="9"/>
  <c r="D55" i="9"/>
  <c r="C55" i="9"/>
  <c r="L54" i="9"/>
  <c r="L58" i="9" s="1"/>
  <c r="K54" i="9"/>
  <c r="J54" i="9"/>
  <c r="I54" i="9"/>
  <c r="I30" i="12" s="1"/>
  <c r="H54" i="9"/>
  <c r="H58" i="9" s="1"/>
  <c r="G54" i="9"/>
  <c r="F54" i="9"/>
  <c r="F58" i="9" s="1"/>
  <c r="E54" i="9"/>
  <c r="E58" i="9" s="1"/>
  <c r="D54" i="9"/>
  <c r="D58" i="9" s="1"/>
  <c r="C54" i="9"/>
  <c r="C58" i="9" s="1"/>
  <c r="L52" i="9"/>
  <c r="L51" i="9"/>
  <c r="K51" i="9"/>
  <c r="J51" i="9"/>
  <c r="I51" i="9"/>
  <c r="H51" i="9"/>
  <c r="G51" i="9"/>
  <c r="G28" i="12" s="1"/>
  <c r="G35" i="12" s="1"/>
  <c r="F51" i="9"/>
  <c r="E51" i="9"/>
  <c r="D51" i="9"/>
  <c r="C51" i="9"/>
  <c r="L50" i="9"/>
  <c r="K50" i="9"/>
  <c r="J50" i="9"/>
  <c r="I50" i="9"/>
  <c r="H50" i="9"/>
  <c r="H52" i="9" s="1"/>
  <c r="G50" i="9"/>
  <c r="F50" i="9"/>
  <c r="E50" i="9"/>
  <c r="D50" i="9"/>
  <c r="C50" i="9"/>
  <c r="L49" i="9"/>
  <c r="K49" i="9"/>
  <c r="J49" i="9"/>
  <c r="J31" i="12" s="1"/>
  <c r="I49" i="9"/>
  <c r="I31" i="12" s="1"/>
  <c r="H49" i="9"/>
  <c r="G49" i="9"/>
  <c r="F49" i="9"/>
  <c r="E49" i="9"/>
  <c r="D49" i="9"/>
  <c r="C49" i="9"/>
  <c r="L48" i="9"/>
  <c r="L31" i="12" s="1"/>
  <c r="K48" i="9"/>
  <c r="K52" i="9" s="1"/>
  <c r="J48" i="9"/>
  <c r="I48" i="9"/>
  <c r="H48" i="9"/>
  <c r="G48" i="9"/>
  <c r="F48" i="9"/>
  <c r="E48" i="9"/>
  <c r="D48" i="9"/>
  <c r="D52" i="9" s="1"/>
  <c r="C48" i="9"/>
  <c r="C52" i="9" s="1"/>
  <c r="M44" i="9"/>
  <c r="D41" i="9"/>
  <c r="E41" i="9"/>
  <c r="F41" i="9"/>
  <c r="F9" i="12" s="1"/>
  <c r="G41" i="9"/>
  <c r="H41" i="9"/>
  <c r="H9" i="12" s="1"/>
  <c r="I41" i="9"/>
  <c r="I9" i="12" s="1"/>
  <c r="J41" i="9"/>
  <c r="J9" i="12" s="1"/>
  <c r="K41" i="9"/>
  <c r="L41" i="9"/>
  <c r="C41" i="9"/>
  <c r="L36" i="9"/>
  <c r="K36" i="9"/>
  <c r="J36" i="9"/>
  <c r="I36" i="9"/>
  <c r="H36" i="9"/>
  <c r="G36" i="9"/>
  <c r="F36" i="9"/>
  <c r="E36" i="9"/>
  <c r="D36" i="9"/>
  <c r="C36" i="9"/>
  <c r="M6" i="9"/>
  <c r="M7" i="9" s="1"/>
  <c r="M30" i="9"/>
  <c r="L30" i="9"/>
  <c r="K30" i="9"/>
  <c r="J30" i="9"/>
  <c r="I30" i="9"/>
  <c r="H30" i="9"/>
  <c r="G30" i="9"/>
  <c r="F30" i="9"/>
  <c r="E30" i="9"/>
  <c r="D30" i="9"/>
  <c r="C30" i="9"/>
  <c r="J25" i="9"/>
  <c r="J18" i="12" s="1"/>
  <c r="H25" i="9"/>
  <c r="H18" i="12" s="1"/>
  <c r="G25" i="9"/>
  <c r="G18" i="12" s="1"/>
  <c r="M22" i="9"/>
  <c r="K22" i="9"/>
  <c r="J22" i="9"/>
  <c r="M24" i="9"/>
  <c r="M21" i="9"/>
  <c r="L24" i="9"/>
  <c r="L25" i="9" s="1"/>
  <c r="L18" i="12" s="1"/>
  <c r="K24" i="9"/>
  <c r="K25" i="9" s="1"/>
  <c r="K18" i="12" s="1"/>
  <c r="J24" i="9"/>
  <c r="I24" i="9"/>
  <c r="I25" i="9" s="1"/>
  <c r="I18" i="12" s="1"/>
  <c r="H24" i="9"/>
  <c r="G24" i="9"/>
  <c r="F24" i="9"/>
  <c r="F25" i="9" s="1"/>
  <c r="F18" i="12" s="1"/>
  <c r="E24" i="9"/>
  <c r="D24" i="9"/>
  <c r="D25" i="9" s="1"/>
  <c r="D18" i="12" s="1"/>
  <c r="C24" i="9"/>
  <c r="C25" i="9" s="1"/>
  <c r="C18" i="12" s="1"/>
  <c r="L21" i="9"/>
  <c r="L22" i="9" s="1"/>
  <c r="K21" i="9"/>
  <c r="J21" i="9"/>
  <c r="I21" i="9"/>
  <c r="I22" i="9" s="1"/>
  <c r="H21" i="9"/>
  <c r="H22" i="9" s="1"/>
  <c r="G21" i="9"/>
  <c r="G22" i="9" s="1"/>
  <c r="F21" i="9"/>
  <c r="E21" i="9"/>
  <c r="D21" i="9"/>
  <c r="D22" i="9" s="1"/>
  <c r="C21" i="9"/>
  <c r="C22" i="9" s="1"/>
  <c r="L16" i="9"/>
  <c r="L17" i="12" s="1"/>
  <c r="I16" i="9"/>
  <c r="I17" i="12" s="1"/>
  <c r="D16" i="9"/>
  <c r="D17" i="12" s="1"/>
  <c r="C16" i="9"/>
  <c r="C17" i="12" s="1"/>
  <c r="H15" i="9"/>
  <c r="H16" i="9" s="1"/>
  <c r="H17" i="12" s="1"/>
  <c r="G15" i="9"/>
  <c r="G16" i="9" s="1"/>
  <c r="G17" i="12" s="1"/>
  <c r="E15" i="9"/>
  <c r="F15" i="9"/>
  <c r="C6" i="9"/>
  <c r="D6" i="9"/>
  <c r="D28" i="12" s="1"/>
  <c r="E6" i="9"/>
  <c r="E29" i="12" s="1"/>
  <c r="E36" i="12" s="1"/>
  <c r="F6" i="9"/>
  <c r="F30" i="12" s="1"/>
  <c r="G6" i="9"/>
  <c r="H6" i="9"/>
  <c r="H30" i="12" s="1"/>
  <c r="I6" i="9"/>
  <c r="J6" i="9"/>
  <c r="J29" i="12" s="1"/>
  <c r="J36" i="12" s="1"/>
  <c r="K6" i="9"/>
  <c r="K12" i="9" s="1"/>
  <c r="L6" i="9"/>
  <c r="L28" i="12" s="1"/>
  <c r="L35" i="12" s="1"/>
  <c r="D7" i="9"/>
  <c r="D5" i="12" s="1"/>
  <c r="E7" i="9"/>
  <c r="E5" i="12" s="1"/>
  <c r="J7" i="9"/>
  <c r="J5" i="12" s="1"/>
  <c r="C9" i="9"/>
  <c r="C10" i="9" s="1"/>
  <c r="D9" i="9"/>
  <c r="E9" i="9"/>
  <c r="F9" i="9"/>
  <c r="G9" i="9"/>
  <c r="H9" i="9"/>
  <c r="I9" i="9"/>
  <c r="I10" i="9" s="1"/>
  <c r="J9" i="9"/>
  <c r="K9" i="9"/>
  <c r="K10" i="9" s="1"/>
  <c r="L9" i="9"/>
  <c r="M9" i="9"/>
  <c r="D10" i="9"/>
  <c r="G10" i="9"/>
  <c r="H10" i="9"/>
  <c r="L10" i="9"/>
  <c r="C12" i="9"/>
  <c r="D12" i="9"/>
  <c r="E12" i="9"/>
  <c r="I12" i="9"/>
  <c r="L12" i="9"/>
  <c r="C15" i="9"/>
  <c r="D15" i="9"/>
  <c r="I15" i="9"/>
  <c r="J15" i="9"/>
  <c r="J16" i="9" s="1"/>
  <c r="J17" i="12" s="1"/>
  <c r="K15" i="9"/>
  <c r="L15" i="9"/>
  <c r="E1" i="6"/>
  <c r="B6" i="6"/>
  <c r="E6" i="21" l="1"/>
  <c r="E8" i="21" s="1"/>
  <c r="F4" i="21"/>
  <c r="K16" i="20"/>
  <c r="G16" i="20"/>
  <c r="I10" i="20"/>
  <c r="J16" i="20"/>
  <c r="I30" i="20"/>
  <c r="I33" i="20" s="1"/>
  <c r="L37" i="12"/>
  <c r="O41" i="12"/>
  <c r="F10" i="9"/>
  <c r="F7" i="9"/>
  <c r="F5" i="12" s="1"/>
  <c r="G31" i="12"/>
  <c r="G7" i="9"/>
  <c r="G5" i="12" s="1"/>
  <c r="N5" i="12" s="1"/>
  <c r="G12" i="9"/>
  <c r="G30" i="12"/>
  <c r="G29" i="12"/>
  <c r="G36" i="12" s="1"/>
  <c r="G37" i="12" s="1"/>
  <c r="G41" i="12"/>
  <c r="G74" i="9"/>
  <c r="G39" i="12"/>
  <c r="K9" i="12"/>
  <c r="N9" i="12" s="1"/>
  <c r="F27" i="12"/>
  <c r="F34" i="12" s="1"/>
  <c r="F12" i="9"/>
  <c r="F13" i="9" s="1"/>
  <c r="F11" i="12" s="1"/>
  <c r="F31" i="12"/>
  <c r="F29" i="12"/>
  <c r="F36" i="12" s="1"/>
  <c r="H41" i="12"/>
  <c r="H74" i="9"/>
  <c r="H39" i="12"/>
  <c r="F22" i="9"/>
  <c r="J52" i="9"/>
  <c r="G58" i="9"/>
  <c r="C63" i="9"/>
  <c r="K63" i="9"/>
  <c r="N17" i="12"/>
  <c r="N41" i="12"/>
  <c r="F16" i="9"/>
  <c r="F17" i="12" s="1"/>
  <c r="K29" i="12"/>
  <c r="K36" i="12" s="1"/>
  <c r="K28" i="12"/>
  <c r="K35" i="12" s="1"/>
  <c r="K27" i="12"/>
  <c r="K34" i="12" s="1"/>
  <c r="K31" i="12"/>
  <c r="K7" i="9"/>
  <c r="K5" i="12" s="1"/>
  <c r="C29" i="12"/>
  <c r="C27" i="12"/>
  <c r="C28" i="12"/>
  <c r="D4" i="13" a="1"/>
  <c r="C31" i="12"/>
  <c r="E25" i="9"/>
  <c r="E18" i="12" s="1"/>
  <c r="N18" i="12" s="1"/>
  <c r="F52" i="9"/>
  <c r="C39" i="12"/>
  <c r="C74" i="9"/>
  <c r="K41" i="12"/>
  <c r="K74" i="9"/>
  <c r="D31" i="12"/>
  <c r="K39" i="12"/>
  <c r="E28" i="12"/>
  <c r="E35" i="12" s="1"/>
  <c r="E37" i="12" s="1"/>
  <c r="E27" i="12"/>
  <c r="E34" i="12" s="1"/>
  <c r="E31" i="12"/>
  <c r="E30" i="12"/>
  <c r="E10" i="9"/>
  <c r="E39" i="12"/>
  <c r="E52" i="9"/>
  <c r="J10" i="9"/>
  <c r="J12" i="9"/>
  <c r="J18" i="9" s="1"/>
  <c r="G52" i="9"/>
  <c r="G27" i="12"/>
  <c r="G34" i="12" s="1"/>
  <c r="M25" i="9"/>
  <c r="M16" i="9"/>
  <c r="M10" i="9"/>
  <c r="M12" i="9"/>
  <c r="M18" i="9" s="1"/>
  <c r="L7" i="9"/>
  <c r="L5" i="12" s="1"/>
  <c r="I29" i="12"/>
  <c r="I36" i="12" s="1"/>
  <c r="E16" i="9"/>
  <c r="E17" i="12" s="1"/>
  <c r="O17" i="12" s="1"/>
  <c r="K16" i="9"/>
  <c r="K17" i="12" s="1"/>
  <c r="F63" i="9"/>
  <c r="F65" i="9" s="1"/>
  <c r="F28" i="12"/>
  <c r="F35" i="12" s="1"/>
  <c r="F37" i="12" s="1"/>
  <c r="C30" i="12"/>
  <c r="H27" i="12"/>
  <c r="H34" i="12" s="1"/>
  <c r="H37" i="12" s="1"/>
  <c r="J37" i="12"/>
  <c r="E22" i="9"/>
  <c r="I52" i="9"/>
  <c r="K58" i="9"/>
  <c r="K65" i="9" s="1"/>
  <c r="H10" i="20"/>
  <c r="I16" i="20"/>
  <c r="H30" i="20"/>
  <c r="H33" i="20" s="1"/>
  <c r="J10" i="20"/>
  <c r="J30" i="20"/>
  <c r="J33" i="20" s="1"/>
  <c r="D74" i="9"/>
  <c r="L74" i="9"/>
  <c r="I28" i="12"/>
  <c r="I35" i="12" s="1"/>
  <c r="I37" i="12" s="1"/>
  <c r="J27" i="12"/>
  <c r="J34" i="12" s="1"/>
  <c r="F39" i="12"/>
  <c r="K10" i="20"/>
  <c r="K30" i="20"/>
  <c r="K33" i="20" s="1"/>
  <c r="H12" i="9"/>
  <c r="I7" i="9"/>
  <c r="I5" i="12" s="1"/>
  <c r="O5" i="12" s="1"/>
  <c r="F74" i="9"/>
  <c r="D27" i="12"/>
  <c r="D34" i="12" s="1"/>
  <c r="D37" i="12" s="1"/>
  <c r="L27" i="12"/>
  <c r="L34" i="12" s="1"/>
  <c r="H7" i="9"/>
  <c r="H5" i="12" s="1"/>
  <c r="I39" i="12"/>
  <c r="G10" i="20"/>
  <c r="H16" i="20"/>
  <c r="G30" i="20"/>
  <c r="G33" i="20" s="1"/>
  <c r="L65" i="9"/>
  <c r="J65" i="9"/>
  <c r="I65" i="9"/>
  <c r="I67" i="9" s="1"/>
  <c r="H65" i="9"/>
  <c r="H67" i="9" s="1"/>
  <c r="G65" i="9"/>
  <c r="G67" i="9" s="1"/>
  <c r="D65" i="9"/>
  <c r="C65" i="9"/>
  <c r="C67" i="9" s="1"/>
  <c r="E65" i="9"/>
  <c r="E40" i="12" s="1"/>
  <c r="C13" i="9"/>
  <c r="C11" i="12" s="1"/>
  <c r="C18" i="9"/>
  <c r="D13" i="9"/>
  <c r="D11" i="12" s="1"/>
  <c r="D18" i="9"/>
  <c r="E13" i="9"/>
  <c r="E11" i="12" s="1"/>
  <c r="E18" i="9"/>
  <c r="G13" i="9"/>
  <c r="G11" i="12" s="1"/>
  <c r="G18" i="9"/>
  <c r="H18" i="9"/>
  <c r="H13" i="9"/>
  <c r="H11" i="12" s="1"/>
  <c r="I18" i="9"/>
  <c r="I13" i="9"/>
  <c r="I11" i="12" s="1"/>
  <c r="K13" i="9"/>
  <c r="K11" i="12" s="1"/>
  <c r="K18" i="9"/>
  <c r="L13" i="9"/>
  <c r="L11" i="12" s="1"/>
  <c r="L18" i="9"/>
  <c r="F6" i="21" l="1"/>
  <c r="F8" i="21" s="1"/>
  <c r="F12" i="21" s="1"/>
  <c r="G4" i="21"/>
  <c r="J18" i="20"/>
  <c r="J35" i="20" s="1"/>
  <c r="K18" i="20"/>
  <c r="I18" i="20"/>
  <c r="G18" i="20"/>
  <c r="G35" i="20" s="1"/>
  <c r="H18" i="20"/>
  <c r="H35" i="20" s="1"/>
  <c r="F67" i="9"/>
  <c r="F40" i="12"/>
  <c r="J13" i="12"/>
  <c r="J19" i="12" s="1"/>
  <c r="J6" i="12"/>
  <c r="J25" i="12"/>
  <c r="J21" i="12"/>
  <c r="J7" i="12"/>
  <c r="K67" i="9"/>
  <c r="K40" i="12"/>
  <c r="M19" i="9"/>
  <c r="M27" i="9"/>
  <c r="K7" i="12"/>
  <c r="K25" i="12"/>
  <c r="K21" i="12"/>
  <c r="K6" i="12"/>
  <c r="K13" i="12"/>
  <c r="K19" i="12" s="1"/>
  <c r="G25" i="12"/>
  <c r="G21" i="12"/>
  <c r="G13" i="12"/>
  <c r="G19" i="12" s="1"/>
  <c r="C25" i="12"/>
  <c r="C21" i="12"/>
  <c r="C13" i="12"/>
  <c r="C40" i="12"/>
  <c r="J13" i="9"/>
  <c r="J11" i="12" s="1"/>
  <c r="O11" i="12" s="1"/>
  <c r="F18" i="9"/>
  <c r="F27" i="9" s="1"/>
  <c r="E67" i="9"/>
  <c r="O18" i="12"/>
  <c r="L67" i="9"/>
  <c r="L40" i="12"/>
  <c r="I40" i="12"/>
  <c r="O31" i="12"/>
  <c r="N31" i="12"/>
  <c r="K37" i="12"/>
  <c r="G40" i="12"/>
  <c r="D8" i="13"/>
  <c r="D9" i="13"/>
  <c r="E9" i="13" s="1"/>
  <c r="D11" i="13"/>
  <c r="D10" i="13"/>
  <c r="E10" i="13" s="1"/>
  <c r="D4" i="13"/>
  <c r="D12" i="13"/>
  <c r="D5" i="13"/>
  <c r="D13" i="13"/>
  <c r="D6" i="13"/>
  <c r="D7" i="13"/>
  <c r="E7" i="13" s="1"/>
  <c r="N11" i="12"/>
  <c r="J67" i="9"/>
  <c r="J40" i="12"/>
  <c r="H40" i="12"/>
  <c r="B2" i="12"/>
  <c r="M13" i="9"/>
  <c r="E7" i="12"/>
  <c r="E13" i="12"/>
  <c r="E19" i="12" s="1"/>
  <c r="E6" i="12"/>
  <c r="E25" i="12"/>
  <c r="E21" i="12"/>
  <c r="D67" i="9"/>
  <c r="D40" i="12"/>
  <c r="I7" i="12"/>
  <c r="I13" i="12"/>
  <c r="I19" i="12" s="1"/>
  <c r="I6" i="12"/>
  <c r="I25" i="12"/>
  <c r="I21" i="12"/>
  <c r="O9" i="12"/>
  <c r="N28" i="12"/>
  <c r="O28" i="12"/>
  <c r="C35" i="12"/>
  <c r="L7" i="12"/>
  <c r="L6" i="12"/>
  <c r="L25" i="12"/>
  <c r="L21" i="12"/>
  <c r="L13" i="12"/>
  <c r="L19" i="12" s="1"/>
  <c r="D7" i="12"/>
  <c r="D6" i="12"/>
  <c r="D13" i="12"/>
  <c r="D19" i="12" s="1"/>
  <c r="D25" i="12"/>
  <c r="D21" i="12"/>
  <c r="O30" i="12"/>
  <c r="N30" i="12"/>
  <c r="N27" i="12"/>
  <c r="C34" i="12"/>
  <c r="O27" i="12"/>
  <c r="H25" i="12"/>
  <c r="H21" i="12"/>
  <c r="H7" i="12"/>
  <c r="H6" i="12"/>
  <c r="H13" i="12"/>
  <c r="H19" i="12" s="1"/>
  <c r="N39" i="12"/>
  <c r="O39" i="12"/>
  <c r="O29" i="12"/>
  <c r="C36" i="12"/>
  <c r="N29" i="12"/>
  <c r="C19" i="9"/>
  <c r="C12" i="12" s="1"/>
  <c r="C27" i="9"/>
  <c r="D19" i="9"/>
  <c r="D12" i="12" s="1"/>
  <c r="D27" i="9"/>
  <c r="E19" i="9"/>
  <c r="E12" i="12" s="1"/>
  <c r="E27" i="9"/>
  <c r="G19" i="9"/>
  <c r="G12" i="12" s="1"/>
  <c r="G27" i="9"/>
  <c r="H19" i="9"/>
  <c r="H12" i="12" s="1"/>
  <c r="H27" i="9"/>
  <c r="G36" i="20" s="1"/>
  <c r="G46" i="20" s="1"/>
  <c r="G48" i="20" s="1"/>
  <c r="I19" i="9"/>
  <c r="I12" i="12" s="1"/>
  <c r="I27" i="9"/>
  <c r="H36" i="20" s="1"/>
  <c r="H46" i="20" s="1"/>
  <c r="H48" i="20" s="1"/>
  <c r="J19" i="9"/>
  <c r="J12" i="12" s="1"/>
  <c r="J27" i="9"/>
  <c r="I36" i="20" s="1"/>
  <c r="I46" i="20" s="1"/>
  <c r="I48" i="20" s="1"/>
  <c r="K19" i="9"/>
  <c r="K12" i="12" s="1"/>
  <c r="K27" i="9"/>
  <c r="J36" i="20" s="1"/>
  <c r="J46" i="20" s="1"/>
  <c r="J48" i="20" s="1"/>
  <c r="L19" i="9"/>
  <c r="L12" i="12" s="1"/>
  <c r="L27" i="9"/>
  <c r="K36" i="20" s="1"/>
  <c r="K46" i="20" s="1"/>
  <c r="K48" i="20" s="1"/>
  <c r="M33" i="9"/>
  <c r="M34" i="9" s="1"/>
  <c r="M28" i="9"/>
  <c r="M31" i="9"/>
  <c r="H4" i="21" l="1"/>
  <c r="G6" i="21"/>
  <c r="G8" i="21" s="1"/>
  <c r="G12" i="21" s="1"/>
  <c r="K44" i="20"/>
  <c r="K50" i="20" s="1"/>
  <c r="K52" i="20" s="1"/>
  <c r="K59" i="20" s="1"/>
  <c r="J44" i="20"/>
  <c r="J50" i="20" s="1"/>
  <c r="J52" i="20" s="1"/>
  <c r="J59" i="20" s="1"/>
  <c r="K35" i="20"/>
  <c r="K38" i="20" s="1"/>
  <c r="K60" i="20" s="1"/>
  <c r="I35" i="20"/>
  <c r="I38" i="20" s="1"/>
  <c r="I60" i="20" s="1"/>
  <c r="I44" i="20"/>
  <c r="I50" i="20" s="1"/>
  <c r="I52" i="20" s="1"/>
  <c r="I59" i="20" s="1"/>
  <c r="H44" i="20"/>
  <c r="H50" i="20" s="1"/>
  <c r="H52" i="20" s="1"/>
  <c r="H59" i="20" s="1"/>
  <c r="G38" i="20"/>
  <c r="G7" i="12"/>
  <c r="N12" i="12"/>
  <c r="O12" i="12"/>
  <c r="H38" i="20"/>
  <c r="H60" i="20" s="1"/>
  <c r="E6" i="13"/>
  <c r="E8" i="13"/>
  <c r="J38" i="20"/>
  <c r="J60" i="20" s="1"/>
  <c r="E13" i="13"/>
  <c r="N13" i="12"/>
  <c r="O13" i="12"/>
  <c r="C19" i="12"/>
  <c r="F13" i="12"/>
  <c r="F19" i="12" s="1"/>
  <c r="F6" i="12"/>
  <c r="F25" i="12"/>
  <c r="F21" i="12"/>
  <c r="F7" i="12"/>
  <c r="O7" i="12" s="1"/>
  <c r="N25" i="12"/>
  <c r="O25" i="12"/>
  <c r="G6" i="12"/>
  <c r="N6" i="12" s="1"/>
  <c r="F19" i="9"/>
  <c r="F12" i="12" s="1"/>
  <c r="E5" i="13"/>
  <c r="I4" i="13" a="1"/>
  <c r="N35" i="12"/>
  <c r="C37" i="12"/>
  <c r="O35" i="12"/>
  <c r="D20" i="13"/>
  <c r="L9" i="13"/>
  <c r="D19" i="13"/>
  <c r="D18" i="13"/>
  <c r="E18" i="13" s="1"/>
  <c r="D17" i="13"/>
  <c r="D16" i="13"/>
  <c r="D15" i="13"/>
  <c r="E15" i="13" s="1"/>
  <c r="D22" i="13"/>
  <c r="D14" i="13"/>
  <c r="E14" i="13" s="1"/>
  <c r="D21" i="13"/>
  <c r="E21" i="13" s="1"/>
  <c r="N34" i="12"/>
  <c r="O34" i="12"/>
  <c r="E11" i="13"/>
  <c r="O40" i="12"/>
  <c r="N40" i="12"/>
  <c r="N36" i="12"/>
  <c r="O36" i="12"/>
  <c r="E12" i="13"/>
  <c r="O21" i="12"/>
  <c r="N21" i="12"/>
  <c r="C28" i="9"/>
  <c r="C14" i="12" s="1"/>
  <c r="C31" i="9"/>
  <c r="C33" i="9"/>
  <c r="C23" i="12" s="1"/>
  <c r="D33" i="9"/>
  <c r="D28" i="9"/>
  <c r="D14" i="12" s="1"/>
  <c r="D31" i="9"/>
  <c r="E28" i="9"/>
  <c r="E14" i="12" s="1"/>
  <c r="E31" i="9"/>
  <c r="E33" i="9"/>
  <c r="F33" i="9"/>
  <c r="F28" i="9"/>
  <c r="F14" i="12" s="1"/>
  <c r="F31" i="9"/>
  <c r="G28" i="9"/>
  <c r="G14" i="12" s="1"/>
  <c r="G31" i="9"/>
  <c r="G33" i="9"/>
  <c r="H28" i="9"/>
  <c r="H14" i="12" s="1"/>
  <c r="H33" i="9"/>
  <c r="H31" i="9"/>
  <c r="I31" i="9"/>
  <c r="I33" i="9"/>
  <c r="I28" i="9"/>
  <c r="I14" i="12" s="1"/>
  <c r="J28" i="9"/>
  <c r="J14" i="12" s="1"/>
  <c r="J31" i="9"/>
  <c r="J33" i="9"/>
  <c r="K31" i="9"/>
  <c r="K28" i="9"/>
  <c r="K14" i="12" s="1"/>
  <c r="K33" i="9"/>
  <c r="L28" i="9"/>
  <c r="L14" i="12" s="1"/>
  <c r="L33" i="9"/>
  <c r="L31" i="9"/>
  <c r="I4" i="21" l="1"/>
  <c r="H6" i="21"/>
  <c r="H8" i="21" s="1"/>
  <c r="H12" i="21" s="1"/>
  <c r="I62" i="20"/>
  <c r="H62" i="20"/>
  <c r="N37" i="12"/>
  <c r="O37" i="12"/>
  <c r="E16" i="13"/>
  <c r="I8" i="12"/>
  <c r="I23" i="12"/>
  <c r="D23" i="12"/>
  <c r="D8" i="12"/>
  <c r="O6" i="12"/>
  <c r="E17" i="13"/>
  <c r="I13" i="13"/>
  <c r="I8" i="13"/>
  <c r="I9" i="13"/>
  <c r="J9" i="13" s="1"/>
  <c r="I10" i="13"/>
  <c r="J10" i="13" s="1"/>
  <c r="I11" i="13"/>
  <c r="J11" i="13" s="1"/>
  <c r="I6" i="13"/>
  <c r="J6" i="13" s="1"/>
  <c r="I4" i="13"/>
  <c r="I12" i="13"/>
  <c r="I5" i="13"/>
  <c r="I7" i="13"/>
  <c r="F8" i="12"/>
  <c r="F23" i="12"/>
  <c r="E19" i="13"/>
  <c r="L6" i="13"/>
  <c r="L12" i="13"/>
  <c r="J62" i="20"/>
  <c r="O19" i="12"/>
  <c r="N19" i="12"/>
  <c r="K8" i="12"/>
  <c r="K23" i="12"/>
  <c r="H23" i="12"/>
  <c r="H8" i="12"/>
  <c r="E23" i="12"/>
  <c r="E8" i="12"/>
  <c r="N14" i="12"/>
  <c r="O14" i="12"/>
  <c r="J8" i="12"/>
  <c r="J23" i="12"/>
  <c r="N7" i="12"/>
  <c r="E20" i="13"/>
  <c r="K62" i="20"/>
  <c r="K54" i="20"/>
  <c r="L23" i="12"/>
  <c r="L8" i="12"/>
  <c r="G8" i="12"/>
  <c r="G23" i="12"/>
  <c r="E22" i="13"/>
  <c r="K55" i="20"/>
  <c r="C34" i="9"/>
  <c r="C15" i="12" s="1"/>
  <c r="C38" i="9"/>
  <c r="D38" i="9"/>
  <c r="D34" i="9"/>
  <c r="D15" i="12" s="1"/>
  <c r="E34" i="9"/>
  <c r="E15" i="12" s="1"/>
  <c r="E38" i="9"/>
  <c r="F34" i="9"/>
  <c r="F15" i="12" s="1"/>
  <c r="F38" i="9"/>
  <c r="G34" i="9"/>
  <c r="G15" i="12" s="1"/>
  <c r="G38" i="9"/>
  <c r="H34" i="9"/>
  <c r="H15" i="12" s="1"/>
  <c r="H38" i="9"/>
  <c r="I34" i="9"/>
  <c r="I15" i="12" s="1"/>
  <c r="I38" i="9"/>
  <c r="J34" i="9"/>
  <c r="J15" i="12" s="1"/>
  <c r="J38" i="9"/>
  <c r="K34" i="9"/>
  <c r="K15" i="12" s="1"/>
  <c r="K38" i="9"/>
  <c r="L34" i="9"/>
  <c r="L15" i="12" s="1"/>
  <c r="L38" i="9"/>
  <c r="J4" i="21" l="1"/>
  <c r="J6" i="21" s="1"/>
  <c r="J8" i="21" s="1"/>
  <c r="I6" i="21"/>
  <c r="I8" i="21" s="1"/>
  <c r="I12" i="21" s="1"/>
  <c r="K65" i="20"/>
  <c r="N23" i="12"/>
  <c r="I19" i="13"/>
  <c r="J19" i="13" s="1"/>
  <c r="I18" i="13"/>
  <c r="J18" i="13" s="1"/>
  <c r="M9" i="13"/>
  <c r="I17" i="13"/>
  <c r="J17" i="13" s="1"/>
  <c r="I16" i="13"/>
  <c r="I15" i="13"/>
  <c r="I22" i="13"/>
  <c r="I14" i="13"/>
  <c r="J14" i="13" s="1"/>
  <c r="I21" i="13"/>
  <c r="J21" i="13" s="1"/>
  <c r="I20" i="13"/>
  <c r="O23" i="12"/>
  <c r="K64" i="20"/>
  <c r="J7" i="13"/>
  <c r="J8" i="13"/>
  <c r="N15" i="12"/>
  <c r="O15" i="12"/>
  <c r="L24" i="12"/>
  <c r="J5" i="13"/>
  <c r="J13" i="13"/>
  <c r="N8" i="12"/>
  <c r="O8" i="12"/>
  <c r="J12" i="13"/>
  <c r="C42" i="9"/>
  <c r="C44" i="9"/>
  <c r="C22" i="12" s="1"/>
  <c r="D39" i="9"/>
  <c r="D42" i="9"/>
  <c r="D44" i="9"/>
  <c r="D22" i="12" s="1"/>
  <c r="D24" i="12" s="1"/>
  <c r="E42" i="9"/>
  <c r="E44" i="9"/>
  <c r="E22" i="12" s="1"/>
  <c r="E24" i="12" s="1"/>
  <c r="E39" i="9"/>
  <c r="F39" i="9"/>
  <c r="F42" i="9"/>
  <c r="F44" i="9"/>
  <c r="F22" i="12" s="1"/>
  <c r="F24" i="12" s="1"/>
  <c r="G39" i="9"/>
  <c r="G42" i="9"/>
  <c r="G44" i="9"/>
  <c r="G22" i="12" s="1"/>
  <c r="G24" i="12" s="1"/>
  <c r="H39" i="9"/>
  <c r="H42" i="9"/>
  <c r="H44" i="9"/>
  <c r="H22" i="12" s="1"/>
  <c r="H24" i="12" s="1"/>
  <c r="I39" i="9"/>
  <c r="I42" i="9"/>
  <c r="I44" i="9"/>
  <c r="I22" i="12" s="1"/>
  <c r="I24" i="12" s="1"/>
  <c r="J39" i="9"/>
  <c r="J42" i="9"/>
  <c r="J44" i="9"/>
  <c r="J22" i="12" s="1"/>
  <c r="J24" i="12" s="1"/>
  <c r="K42" i="9"/>
  <c r="K44" i="9"/>
  <c r="K22" i="12" s="1"/>
  <c r="K24" i="12" s="1"/>
  <c r="K39" i="9"/>
  <c r="L39" i="9"/>
  <c r="L42" i="9"/>
  <c r="L44" i="9"/>
  <c r="L22" i="12" s="1"/>
  <c r="M39" i="9"/>
  <c r="D21" i="21" l="1"/>
  <c r="D25" i="21" s="1"/>
  <c r="J12" i="21"/>
  <c r="D30" i="21" s="1"/>
  <c r="J20" i="13"/>
  <c r="J22" i="13"/>
  <c r="J15" i="13"/>
  <c r="J16" i="13"/>
  <c r="O22" i="12"/>
  <c r="N22" i="12"/>
  <c r="C24" i="12"/>
  <c r="M6" i="13"/>
  <c r="M12" i="13"/>
  <c r="D31" i="21" l="1"/>
  <c r="D32" i="21" s="1"/>
  <c r="D36" i="21" s="1"/>
  <c r="D39" i="21" s="1"/>
  <c r="D42" i="21" s="1"/>
  <c r="N24" i="12"/>
  <c r="O24" i="12"/>
</calcChain>
</file>

<file path=xl/sharedStrings.xml><?xml version="1.0" encoding="utf-8"?>
<sst xmlns="http://schemas.openxmlformats.org/spreadsheetml/2006/main" count="358" uniqueCount="278">
  <si>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</si>
  <si>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</si>
  <si>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</si>
  <si>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</si>
  <si>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</si>
  <si>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</si>
  <si>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</si>
  <si>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</si>
  <si>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</si>
  <si>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</si>
  <si>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</si>
  <si>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</si>
  <si>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</si>
  <si>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</si>
  <si>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</si>
  <si>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</si>
  <si>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</si>
  <si>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</si>
  <si>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</si>
  <si>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</si>
  <si>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</si>
  <si>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</si>
  <si>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</si>
  <si>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</si>
  <si>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</si>
  <si>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</si>
  <si>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</si>
  <si>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</si>
  <si>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</si>
  <si>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</si>
  <si>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</si>
  <si>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Debtor Days</t>
  </si>
  <si>
    <t>LATEST VERSION</t>
  </si>
  <si>
    <t>CURRENT VERSION</t>
  </si>
  <si>
    <t>ASIAN PAINTS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</si>
  <si>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</si>
  <si>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</si>
  <si>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</si>
  <si>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</si>
  <si>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</si>
  <si>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</si>
  <si>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</si>
  <si>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</si>
  <si>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</si>
  <si>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</si>
  <si>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</si>
  <si>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</si>
  <si>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</si>
  <si>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</si>
  <si>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</si>
  <si>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</si>
  <si>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</si>
  <si>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</si>
  <si>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</si>
  <si>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</si>
  <si>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</si>
  <si>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</si>
  <si>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</si>
  <si>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#</t>
  </si>
  <si>
    <t>Gross Profit</t>
  </si>
  <si>
    <t>Selling &amp; General Expenses</t>
  </si>
  <si>
    <t>S&amp;G Exp% Sales</t>
  </si>
  <si>
    <t>Depriciation</t>
  </si>
  <si>
    <t>Depriciation % Sales</t>
  </si>
  <si>
    <t>Gross Margin</t>
  </si>
  <si>
    <t>Earnings Before Tax</t>
  </si>
  <si>
    <t>Effective Tax Rate</t>
  </si>
  <si>
    <t>Net Profit</t>
  </si>
  <si>
    <t>Net Margins</t>
  </si>
  <si>
    <t>Earning Per Share</t>
  </si>
  <si>
    <t>Retained Earnings</t>
  </si>
  <si>
    <t>Dividend Per Share</t>
  </si>
  <si>
    <t>Balance Sheet</t>
  </si>
  <si>
    <t>Total Liabilities</t>
  </si>
  <si>
    <t>Total Current Assets</t>
  </si>
  <si>
    <t>Total Assets</t>
  </si>
  <si>
    <t>Check</t>
  </si>
  <si>
    <t>Payables</t>
  </si>
  <si>
    <t>Dividend Growth</t>
  </si>
  <si>
    <t>Net Profit Growth</t>
  </si>
  <si>
    <t>Net Profit Margin</t>
  </si>
  <si>
    <t>Sales Expense% Sales</t>
  </si>
  <si>
    <t>Depriciation% Sales</t>
  </si>
  <si>
    <t>Operating Income% Sales</t>
  </si>
  <si>
    <t>Retained Earnings%</t>
  </si>
  <si>
    <t>Self Sustained Growth Rate</t>
  </si>
  <si>
    <t>Ebitda Margin</t>
  </si>
  <si>
    <t>Ebit Margin</t>
  </si>
  <si>
    <t>Ebt Margin</t>
  </si>
  <si>
    <t>Return On Capital Employed</t>
  </si>
  <si>
    <t>Ebitda</t>
  </si>
  <si>
    <t>Ebt % Sales</t>
  </si>
  <si>
    <t>Eps Growth%</t>
  </si>
  <si>
    <t>Dividend Payout Ratio</t>
  </si>
  <si>
    <t>Interest Coverage Ratio</t>
  </si>
  <si>
    <t>CFO/Sales</t>
  </si>
  <si>
    <t>CFO/Total Assets</t>
  </si>
  <si>
    <t>CFO/Total Debt</t>
  </si>
  <si>
    <t>Debt Turnover Ratio</t>
  </si>
  <si>
    <t>Inventory Ratio</t>
  </si>
  <si>
    <t>Fixed Asset Turnover</t>
  </si>
  <si>
    <t>Capital Turnover Ratio</t>
  </si>
  <si>
    <t>Payable Days</t>
  </si>
  <si>
    <t>Inventory Days</t>
  </si>
  <si>
    <t>Cash Conversion Cycle</t>
  </si>
  <si>
    <t>Mean</t>
  </si>
  <si>
    <t>Median</t>
  </si>
  <si>
    <t>Trend</t>
  </si>
  <si>
    <t>Year Weight</t>
  </si>
  <si>
    <t>Year</t>
  </si>
  <si>
    <t>EBITDA</t>
  </si>
  <si>
    <t>LTM</t>
  </si>
  <si>
    <t>COGS</t>
  </si>
  <si>
    <t>COGS % Sales</t>
  </si>
  <si>
    <t>Gross margin</t>
  </si>
  <si>
    <t>Interest &amp; Sales</t>
  </si>
  <si>
    <t>Fixed Assets Net Block</t>
  </si>
  <si>
    <t>Total Non Current Assets</t>
  </si>
  <si>
    <t>Cash from Operating Activities</t>
  </si>
  <si>
    <t>Cash from Investing Activities</t>
  </si>
  <si>
    <t>Cash from Financing Activities</t>
  </si>
  <si>
    <t>Cash Flow Statement</t>
  </si>
  <si>
    <t>Credit Turnover Ratio</t>
  </si>
  <si>
    <t>EBITDA Growth</t>
  </si>
  <si>
    <t>EBIT Growth</t>
  </si>
  <si>
    <t>Return on Equity%</t>
  </si>
  <si>
    <t>Arithmetic Growth of Sales</t>
  </si>
  <si>
    <t>Arithmetic Growth of Ebitda</t>
  </si>
  <si>
    <t>Geometric Growth of Sales</t>
  </si>
  <si>
    <t>Geometric Growth of Ebitda</t>
  </si>
  <si>
    <t>Standard Deviation of Ebitda</t>
  </si>
  <si>
    <t>Standard Deviation of Sales</t>
  </si>
  <si>
    <t>Cash from Operating Activity -</t>
  </si>
  <si>
    <t>Profit from operations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</si>
  <si>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</si>
  <si>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</si>
  <si>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</si>
  <si>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</si>
  <si>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</si>
  <si>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</si>
  <si>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</si>
  <si>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</si>
  <si>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</si>
  <si>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</si>
  <si>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</si>
  <si>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</si>
  <si>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</si>
  <si>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</si>
  <si>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</si>
  <si>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</si>
  <si>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</si>
  <si>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</si>
  <si>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</si>
  <si>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</si>
  <si>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</si>
  <si>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</si>
  <si>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</si>
  <si>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</si>
  <si>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Equity Capital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</si>
  <si>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</si>
  <si>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</si>
  <si>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</si>
  <si>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</si>
  <si>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</si>
  <si>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</si>
  <si>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</si>
  <si>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</si>
  <si>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</si>
  <si>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</si>
  <si>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</si>
  <si>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</si>
  <si>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</si>
  <si>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</si>
  <si>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</si>
  <si>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</si>
  <si>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</si>
  <si>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</si>
  <si>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</si>
  <si>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</si>
  <si>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</si>
  <si>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</si>
  <si>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</si>
  <si>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Borrowings -</t>
  </si>
  <si>
    <t>Other Liabilities -</t>
  </si>
  <si>
    <t>Fixed Assets -</t>
  </si>
  <si>
    <t>Other Assets -</t>
  </si>
  <si>
    <t>Particulars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</si>
  <si>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</si>
  <si>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</si>
  <si>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</si>
  <si>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</si>
  <si>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</si>
  <si>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</si>
  <si>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</si>
  <si>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</si>
  <si>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</si>
  <si>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</si>
  <si>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</si>
  <si>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</si>
  <si>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</si>
  <si>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</si>
  <si>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</si>
  <si>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</si>
  <si>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</si>
  <si>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</si>
  <si>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</si>
  <si>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</si>
  <si>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</si>
  <si>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</si>
  <si>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Tax Rate</t>
  </si>
  <si>
    <t>EBIT(1-Tax)</t>
  </si>
  <si>
    <t>Less:Reinvestment Rate</t>
  </si>
  <si>
    <t>Free Cash Flow to Firm (FCFF)</t>
  </si>
  <si>
    <t>Trade receivables +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</si>
  <si>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</si>
  <si>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</si>
  <si>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</si>
  <si>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</si>
  <si>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</si>
  <si>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</si>
  <si>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</si>
  <si>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FCFF(n-1)</t>
  </si>
  <si>
    <t>Terminal Growth Rate</t>
  </si>
  <si>
    <t>Terminal Value</t>
  </si>
  <si>
    <t>Calculation of Equity Value per Share</t>
  </si>
  <si>
    <t>Pv of FCFF</t>
  </si>
  <si>
    <t>Pv of Terminal Value</t>
  </si>
  <si>
    <t>Value of Operating Aseets</t>
  </si>
  <si>
    <t>Less: Debt</t>
  </si>
  <si>
    <t xml:space="preserve">Add: Cash </t>
  </si>
  <si>
    <t>Value of Equity</t>
  </si>
  <si>
    <t>No. of Shares</t>
  </si>
  <si>
    <t>Equity Value per Share</t>
  </si>
  <si>
    <t>Share Price</t>
  </si>
  <si>
    <t>Discount/Premium</t>
  </si>
  <si>
    <t>Peer Comps</t>
  </si>
  <si>
    <t>Name of Company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</si>
  <si>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</si>
  <si>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</si>
  <si>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</si>
  <si>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  <scheme val="minor"/>
      </rPr>
      <t>1</t>
    </r>
  </si>
  <si>
    <t>Debt /</t>
  </si>
  <si>
    <t>Equity</t>
  </si>
  <si>
    <t>Capital</t>
  </si>
  <si>
    <t>Levered</t>
  </si>
  <si>
    <r>
      <t>Beta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</si>
  <si>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Unlevered </t>
  </si>
  <si>
    <r>
      <t>Beta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</si>
  <si>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Berger Paints </t>
  </si>
  <si>
    <t xml:space="preserve">Asian Paints </t>
  </si>
  <si>
    <t>Kansal Nerolac</t>
  </si>
  <si>
    <t>JSW Dulux</t>
  </si>
  <si>
    <t>Indigo Paints</t>
  </si>
  <si>
    <t>India</t>
  </si>
  <si>
    <t>Average</t>
  </si>
  <si>
    <t>Cost of Debt</t>
  </si>
  <si>
    <t>Pre-Tax Cost of Debt</t>
  </si>
  <si>
    <t>Post Tax Cost of Debt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</si>
  <si>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</si>
  <si>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</si>
  <si>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</si>
  <si>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</si>
  <si>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</si>
  <si>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Total Capital</t>
  </si>
  <si>
    <t>Current</t>
  </si>
  <si>
    <t>Target</t>
  </si>
  <si>
    <t>Levered Beta</t>
  </si>
  <si>
    <t>Target Debt/Equity</t>
  </si>
  <si>
    <t>Equity Weight</t>
  </si>
  <si>
    <t>Debt Weight</t>
  </si>
  <si>
    <t>Debt/Equity</t>
  </si>
  <si>
    <t>Comps Median Unlevered Beta</t>
  </si>
  <si>
    <t>Annual</t>
  </si>
  <si>
    <t>Average Return</t>
  </si>
  <si>
    <t>Dividend Yield</t>
  </si>
  <si>
    <r>
      <t>1.28%</t>
    </r>
    <r>
      <rPr>
        <vertAlign val="superscript"/>
        <sz val="11"/>
        <color theme="1"/>
        <rFont val="Calibri"/>
        <family val="2"/>
        <scheme val="minor"/>
      </rPr>
      <t>1</t>
    </r>
  </si>
  <si>
    <t>Total Market Return</t>
  </si>
  <si>
    <t>Nifty 50 past years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</si>
</sst>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&quot;₹&quot;\ #,##0.0;&quot;₹&quot;\ \(#,##0.0\);\-"/>
    <numFmt numFmtId="168" formatCode="0.00&quot;x&quot;"/>
    <numFmt numFmtId="169" formatCode="0&quot; days&quot;"/>
    <numFmt numFmtId="170" formatCode="&quot;₹&quot;\ #,##0.0;\(&quot;₹&quot;\ #,##0.0\);\-"/>
    <numFmt numFmtId="171" formatCode="yyyy&quot;E&quot;"/>
    <numFmt numFmtId="172" formatCode="yyyy&quot;A&quot;"/>
    <numFmt numFmtId="173" formatCode="0.0%"/>
    <numFmt numFmtId="174" formatCode="mmm/yy&quot;A&quot;"/>
    <numFmt numFmtId="175" formatCode="mmm/yy&quot;F&quot;"/>
    <numFmt numFmtId="190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B2B2B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Calibri"/>
      <family val="2"/>
      <scheme val="minor"/>
    </font>
    <font>
      <sz val="11"/>
      <color rgb="FF606F7B"/>
      <name val="Arial"/>
      <family val="2"/>
    </font>
    <font>
      <b/>
      <sz val="11"/>
      <name val="Calibri"/>
      <family val="2"/>
      <scheme val="minor"/>
    </font>
    <font>
      <b/>
      <sz val="11"/>
      <color rgb="FF22222F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rgb="FF22222F"/>
      <name val="Calibri"/>
      <family val="2"/>
      <scheme val="minor"/>
    </font>
    <font>
      <b/>
      <sz val="12"/>
      <color rgb="FF22222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2222F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22222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CEB99"/>
        <bgColor indexed="64"/>
      </patternFill>
    </fill>
  </fills>
  <borders count="17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99"/>
      </top>
      <bottom style="medium">
        <color rgb="FF000099"/>
      </bottom>
      <diagonal/>
    </border>
    <border>
      <left/>
      <right/>
      <top style="thin">
        <color rgb="FF000099"/>
      </top>
      <bottom/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thin">
        <color rgb="FF000066"/>
      </top>
      <bottom style="thin">
        <color rgb="FF000066"/>
      </bottom>
      <diagonal/>
    </border>
    <border>
      <left/>
      <right/>
      <top style="thin">
        <color rgb="FF000066"/>
      </top>
      <bottom style="medium">
        <color rgb="FF000066"/>
      </bottom>
      <diagonal/>
    </border>
    <border>
      <left/>
      <right/>
      <top style="thin">
        <color rgb="FF000066"/>
      </top>
      <bottom/>
      <diagonal/>
    </border>
    <border>
      <left/>
      <right/>
      <top/>
      <bottom style="thin">
        <color rgb="FF000066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41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Alignment="1">
      <alignment horizontal="left"/>
    </xf>
    <xf numFmtId="0" fontId="6" fillId="0" borderId="0" xfId="0" applyFont="1"/>
    <xf numFmtId="164" fontId="0" fillId="0" borderId="0" xfId="1" applyNumberFormat="1" applyFont="1" applyBorder="1"/>
    <xf numFmtId="166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1" xfId="0" applyBorder="1"/>
    <xf numFmtId="10" fontId="0" fillId="0" borderId="0" xfId="4" applyNumberFormat="1" applyFont="1" applyBorder="1"/>
    <xf numFmtId="0" fontId="0" fillId="4" borderId="0" xfId="0" applyFill="1"/>
    <xf numFmtId="17" fontId="11" fillId="4" borderId="0" xfId="0" applyNumberFormat="1" applyFont="1" applyFill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3" fontId="9" fillId="5" borderId="0" xfId="0" applyNumberFormat="1" applyFont="1" applyFill="1" applyAlignment="1">
      <alignment horizontal="right" vertical="center" wrapText="1"/>
    </xf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" fontId="11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170" fontId="6" fillId="0" borderId="0" xfId="0" applyNumberFormat="1" applyFont="1" applyAlignment="1">
      <alignment horizontal="right"/>
    </xf>
    <xf numFmtId="10" fontId="0" fillId="0" borderId="0" xfId="4" applyNumberFormat="1" applyFont="1" applyFill="1" applyAlignment="1">
      <alignment horizontal="right"/>
    </xf>
    <xf numFmtId="0" fontId="8" fillId="0" borderId="0" xfId="0" applyFont="1" applyAlignment="1">
      <alignment horizontal="center"/>
    </xf>
    <xf numFmtId="169" fontId="0" fillId="0" borderId="0" xfId="0" applyNumberFormat="1"/>
    <xf numFmtId="10" fontId="0" fillId="0" borderId="0" xfId="4" applyNumberFormat="1" applyFont="1" applyFill="1" applyBorder="1"/>
    <xf numFmtId="168" fontId="0" fillId="0" borderId="0" xfId="0" applyNumberFormat="1"/>
    <xf numFmtId="166" fontId="1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67" fontId="7" fillId="0" borderId="0" xfId="0" applyNumberFormat="1" applyFont="1" applyAlignment="1">
      <alignment horizontal="left"/>
    </xf>
    <xf numFmtId="10" fontId="7" fillId="0" borderId="0" xfId="4" applyNumberFormat="1" applyFont="1" applyFill="1" applyBorder="1" applyAlignment="1"/>
    <xf numFmtId="10" fontId="7" fillId="0" borderId="0" xfId="4" applyNumberFormat="1" applyFont="1" applyFill="1" applyBorder="1" applyAlignment="1">
      <alignment horizontal="right"/>
    </xf>
    <xf numFmtId="167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9" fontId="7" fillId="0" borderId="0" xfId="4" applyFont="1" applyFill="1" applyBorder="1" applyAlignment="1">
      <alignment horizontal="right"/>
    </xf>
    <xf numFmtId="9" fontId="0" fillId="0" borderId="0" xfId="4" applyFont="1" applyFill="1" applyBorder="1" applyAlignment="1">
      <alignment horizontal="right"/>
    </xf>
    <xf numFmtId="10" fontId="0" fillId="0" borderId="0" xfId="4" applyNumberFormat="1" applyFont="1" applyFill="1" applyBorder="1" applyAlignment="1">
      <alignment horizontal="right"/>
    </xf>
    <xf numFmtId="167" fontId="7" fillId="0" borderId="0" xfId="4" applyNumberFormat="1" applyFont="1" applyFill="1" applyBorder="1" applyAlignment="1">
      <alignment horizontal="right"/>
    </xf>
    <xf numFmtId="167" fontId="6" fillId="0" borderId="0" xfId="0" applyNumberFormat="1" applyFont="1" applyAlignment="1">
      <alignment horizontal="left"/>
    </xf>
    <xf numFmtId="167" fontId="8" fillId="0" borderId="0" xfId="0" applyNumberFormat="1" applyFont="1" applyAlignment="1">
      <alignment horizontal="left"/>
    </xf>
    <xf numFmtId="167" fontId="10" fillId="0" borderId="0" xfId="0" applyNumberFormat="1" applyFont="1" applyAlignment="1">
      <alignment horizontal="left" vertical="center"/>
    </xf>
    <xf numFmtId="166" fontId="12" fillId="0" borderId="0" xfId="0" applyNumberFormat="1" applyFont="1" applyAlignment="1">
      <alignment horizontal="left"/>
    </xf>
    <xf numFmtId="1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6" fontId="2" fillId="6" borderId="0" xfId="0" applyNumberFormat="1" applyFont="1" applyFill="1" applyAlignment="1">
      <alignment horizontal="left"/>
    </xf>
    <xf numFmtId="15" fontId="5" fillId="6" borderId="0" xfId="0" applyNumberFormat="1" applyFont="1" applyFill="1" applyAlignment="1">
      <alignment horizontal="right"/>
    </xf>
    <xf numFmtId="166" fontId="5" fillId="6" borderId="0" xfId="0" applyNumberFormat="1" applyFont="1" applyFill="1" applyAlignment="1">
      <alignment horizontal="right"/>
    </xf>
    <xf numFmtId="166" fontId="12" fillId="8" borderId="0" xfId="0" applyNumberFormat="1" applyFont="1" applyFill="1" applyAlignment="1">
      <alignment horizontal="left"/>
    </xf>
    <xf numFmtId="166" fontId="6" fillId="8" borderId="0" xfId="0" applyNumberFormat="1" applyFont="1" applyFill="1" applyAlignment="1">
      <alignment horizontal="right"/>
    </xf>
    <xf numFmtId="15" fontId="5" fillId="6" borderId="0" xfId="0" applyNumberFormat="1" applyFont="1" applyFill="1"/>
    <xf numFmtId="167" fontId="7" fillId="0" borderId="0" xfId="0" applyNumberFormat="1" applyFont="1" applyAlignment="1">
      <alignment horizontal="right"/>
    </xf>
    <xf numFmtId="173" fontId="7" fillId="0" borderId="0" xfId="4" applyNumberFormat="1" applyFont="1" applyFill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left"/>
    </xf>
    <xf numFmtId="167" fontId="1" fillId="8" borderId="0" xfId="0" applyNumberFormat="1" applyFont="1" applyFill="1" applyAlignment="1">
      <alignment horizontal="left"/>
    </xf>
    <xf numFmtId="167" fontId="0" fillId="8" borderId="0" xfId="0" applyNumberFormat="1" applyFill="1" applyAlignment="1">
      <alignment horizontal="right"/>
    </xf>
    <xf numFmtId="15" fontId="1" fillId="9" borderId="0" xfId="0" applyNumberFormat="1" applyFont="1" applyFill="1" applyAlignment="1">
      <alignment horizontal="left"/>
    </xf>
    <xf numFmtId="15" fontId="1" fillId="9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left"/>
    </xf>
    <xf numFmtId="167" fontId="13" fillId="0" borderId="2" xfId="0" applyNumberFormat="1" applyFont="1" applyBorder="1" applyAlignment="1">
      <alignment horizontal="left" vertical="center"/>
    </xf>
    <xf numFmtId="173" fontId="0" fillId="0" borderId="0" xfId="0" applyNumberFormat="1"/>
    <xf numFmtId="0" fontId="0" fillId="0" borderId="3" xfId="0" applyBorder="1"/>
    <xf numFmtId="173" fontId="0" fillId="0" borderId="3" xfId="0" applyNumberFormat="1" applyBorder="1"/>
    <xf numFmtId="10" fontId="0" fillId="0" borderId="3" xfId="4" applyNumberFormat="1" applyFont="1" applyBorder="1"/>
    <xf numFmtId="10" fontId="0" fillId="0" borderId="3" xfId="4" applyNumberFormat="1" applyFont="1" applyFill="1" applyBorder="1"/>
    <xf numFmtId="0" fontId="0" fillId="0" borderId="4" xfId="0" applyBorder="1"/>
    <xf numFmtId="173" fontId="0" fillId="0" borderId="4" xfId="0" applyNumberFormat="1" applyBorder="1"/>
    <xf numFmtId="10" fontId="0" fillId="0" borderId="4" xfId="4" applyNumberFormat="1" applyFont="1" applyFill="1" applyBorder="1"/>
    <xf numFmtId="168" fontId="0" fillId="0" borderId="4" xfId="4" applyNumberFormat="1" applyFont="1" applyFill="1" applyBorder="1"/>
    <xf numFmtId="168" fontId="0" fillId="0" borderId="3" xfId="0" applyNumberFormat="1" applyBorder="1"/>
    <xf numFmtId="168" fontId="0" fillId="0" borderId="4" xfId="0" applyNumberFormat="1" applyBorder="1"/>
    <xf numFmtId="169" fontId="0" fillId="0" borderId="3" xfId="0" applyNumberFormat="1" applyBorder="1"/>
    <xf numFmtId="169" fontId="0" fillId="0" borderId="4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66" fontId="5" fillId="6" borderId="0" xfId="0" applyNumberFormat="1" applyFont="1" applyFill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10" fontId="1" fillId="0" borderId="5" xfId="0" applyNumberFormat="1" applyFont="1" applyBorder="1" applyAlignment="1">
      <alignment horizontal="center"/>
    </xf>
    <xf numFmtId="10" fontId="1" fillId="0" borderId="5" xfId="4" applyNumberFormat="1" applyFont="1" applyFill="1" applyBorder="1" applyAlignment="1">
      <alignment horizontal="center"/>
    </xf>
    <xf numFmtId="0" fontId="1" fillId="10" borderId="5" xfId="0" applyFont="1" applyFill="1" applyBorder="1"/>
    <xf numFmtId="0" fontId="1" fillId="5" borderId="0" xfId="0" applyFont="1" applyFill="1"/>
    <xf numFmtId="10" fontId="1" fillId="5" borderId="0" xfId="4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/>
    </xf>
    <xf numFmtId="0" fontId="15" fillId="5" borderId="0" xfId="0" applyFont="1" applyFill="1" applyAlignment="1">
      <alignment vertical="center"/>
    </xf>
    <xf numFmtId="17" fontId="16" fillId="5" borderId="0" xfId="0" applyNumberFormat="1" applyFont="1" applyFill="1" applyAlignment="1">
      <alignment vertical="center" wrapText="1"/>
    </xf>
    <xf numFmtId="3" fontId="16" fillId="5" borderId="0" xfId="0" applyNumberFormat="1" applyFont="1" applyFill="1" applyAlignment="1">
      <alignment vertical="center" wrapText="1"/>
    </xf>
    <xf numFmtId="17" fontId="17" fillId="0" borderId="0" xfId="0" applyNumberFormat="1" applyFont="1"/>
    <xf numFmtId="0" fontId="16" fillId="5" borderId="0" xfId="0" applyFont="1" applyFill="1" applyAlignment="1">
      <alignment vertical="center"/>
    </xf>
    <xf numFmtId="170" fontId="15" fillId="5" borderId="0" xfId="0" applyNumberFormat="1" applyFont="1" applyFill="1" applyAlignment="1">
      <alignment vertical="center" wrapText="1"/>
    </xf>
    <xf numFmtId="170" fontId="18" fillId="0" borderId="0" xfId="0" applyNumberFormat="1" applyFont="1"/>
    <xf numFmtId="0" fontId="18" fillId="0" borderId="0" xfId="0" applyFont="1"/>
    <xf numFmtId="170" fontId="6" fillId="5" borderId="0" xfId="0" applyNumberFormat="1" applyFont="1" applyFill="1" applyAlignment="1">
      <alignment horizontal="right"/>
    </xf>
    <xf numFmtId="0" fontId="14" fillId="0" borderId="0" xfId="0" applyFont="1" applyAlignment="1">
      <alignment horizontal="left"/>
    </xf>
    <xf numFmtId="167" fontId="13" fillId="0" borderId="2" xfId="0" applyNumberFormat="1" applyFont="1" applyBorder="1" applyAlignment="1">
      <alignment horizontal="right" vertical="center"/>
    </xf>
    <xf numFmtId="166" fontId="12" fillId="0" borderId="0" xfId="0" applyNumberFormat="1" applyFont="1" applyAlignment="1">
      <alignment horizontal="right"/>
    </xf>
    <xf numFmtId="166" fontId="12" fillId="8" borderId="0" xfId="0" applyNumberFormat="1" applyFont="1" applyFill="1" applyAlignment="1">
      <alignment horizontal="right"/>
    </xf>
    <xf numFmtId="164" fontId="0" fillId="0" borderId="0" xfId="1" applyNumberFormat="1" applyFont="1" applyBorder="1" applyAlignment="1">
      <alignment horizontal="right"/>
    </xf>
    <xf numFmtId="167" fontId="1" fillId="8" borderId="0" xfId="0" applyNumberFormat="1" applyFont="1" applyFill="1" applyAlignment="1">
      <alignment horizontal="right"/>
    </xf>
    <xf numFmtId="166" fontId="0" fillId="5" borderId="0" xfId="0" applyNumberFormat="1" applyFill="1" applyAlignment="1">
      <alignment horizontal="right"/>
    </xf>
    <xf numFmtId="167" fontId="8" fillId="0" borderId="0" xfId="0" applyNumberFormat="1" applyFont="1" applyAlignment="1">
      <alignment horizontal="right"/>
    </xf>
    <xf numFmtId="166" fontId="1" fillId="5" borderId="0" xfId="0" applyNumberFormat="1" applyFont="1" applyFill="1" applyAlignment="1">
      <alignment horizontal="right"/>
    </xf>
    <xf numFmtId="167" fontId="10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right"/>
    </xf>
    <xf numFmtId="17" fontId="2" fillId="6" borderId="0" xfId="0" applyNumberFormat="1" applyFont="1" applyFill="1" applyAlignment="1">
      <alignment horizontal="left" vertical="center" wrapText="1"/>
    </xf>
    <xf numFmtId="17" fontId="5" fillId="6" borderId="0" xfId="0" applyNumberFormat="1" applyFont="1" applyFill="1" applyAlignment="1">
      <alignment horizontal="right" vertical="center" wrapText="1"/>
    </xf>
    <xf numFmtId="17" fontId="2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vertical="center"/>
    </xf>
    <xf numFmtId="166" fontId="10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166" fontId="1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166" fontId="10" fillId="0" borderId="8" xfId="0" applyNumberFormat="1" applyFont="1" applyBorder="1" applyAlignment="1">
      <alignment horizontal="right" vertical="center" wrapText="1"/>
    </xf>
    <xf numFmtId="166" fontId="19" fillId="0" borderId="8" xfId="0" applyNumberFormat="1" applyFont="1" applyBorder="1" applyAlignment="1">
      <alignment horizontal="right" vertical="center" wrapText="1"/>
    </xf>
    <xf numFmtId="166" fontId="10" fillId="0" borderId="7" xfId="0" applyNumberFormat="1" applyFont="1" applyBorder="1" applyAlignment="1">
      <alignment horizontal="right" vertical="center" wrapText="1"/>
    </xf>
    <xf numFmtId="0" fontId="13" fillId="0" borderId="7" xfId="0" applyFont="1" applyBorder="1" applyAlignment="1">
      <alignment vertical="center"/>
    </xf>
    <xf numFmtId="0" fontId="16" fillId="5" borderId="6" xfId="0" applyFont="1" applyFill="1" applyBorder="1" applyAlignment="1">
      <alignment vertical="center"/>
    </xf>
    <xf numFmtId="170" fontId="16" fillId="5" borderId="6" xfId="0" applyNumberFormat="1" applyFont="1" applyFill="1" applyBorder="1" applyAlignment="1">
      <alignment vertical="center" wrapText="1"/>
    </xf>
    <xf numFmtId="170" fontId="17" fillId="0" borderId="6" xfId="0" applyNumberFormat="1" applyFont="1" applyBorder="1"/>
    <xf numFmtId="170" fontId="16" fillId="5" borderId="8" xfId="0" applyNumberFormat="1" applyFont="1" applyFill="1" applyBorder="1" applyAlignment="1">
      <alignment vertical="center" wrapText="1"/>
    </xf>
    <xf numFmtId="170" fontId="17" fillId="0" borderId="8" xfId="0" applyNumberFormat="1" applyFont="1" applyBorder="1"/>
    <xf numFmtId="170" fontId="15" fillId="5" borderId="8" xfId="0" applyNumberFormat="1" applyFont="1" applyFill="1" applyBorder="1" applyAlignment="1">
      <alignment vertical="center" wrapText="1"/>
    </xf>
    <xf numFmtId="170" fontId="18" fillId="0" borderId="8" xfId="0" applyNumberFormat="1" applyFont="1" applyBorder="1"/>
    <xf numFmtId="170" fontId="15" fillId="5" borderId="7" xfId="0" applyNumberFormat="1" applyFont="1" applyFill="1" applyBorder="1" applyAlignment="1">
      <alignment vertical="center" wrapText="1"/>
    </xf>
    <xf numFmtId="170" fontId="18" fillId="0" borderId="7" xfId="0" applyNumberFormat="1" applyFont="1" applyBorder="1"/>
    <xf numFmtId="170" fontId="16" fillId="5" borderId="9" xfId="0" applyNumberFormat="1" applyFont="1" applyFill="1" applyBorder="1" applyAlignment="1">
      <alignment vertical="center" wrapText="1"/>
    </xf>
    <xf numFmtId="170" fontId="17" fillId="0" borderId="9" xfId="0" applyNumberFormat="1" applyFont="1" applyBorder="1"/>
    <xf numFmtId="166" fontId="10" fillId="0" borderId="9" xfId="0" applyNumberFormat="1" applyFont="1" applyBorder="1" applyAlignment="1">
      <alignment horizontal="right" vertical="center" wrapText="1"/>
    </xf>
    <xf numFmtId="166" fontId="2" fillId="0" borderId="7" xfId="0" applyNumberFormat="1" applyFont="1" applyBorder="1" applyAlignment="1">
      <alignment horizontal="right" vertical="center" wrapText="1"/>
    </xf>
    <xf numFmtId="0" fontId="2" fillId="7" borderId="0" xfId="0" applyFont="1" applyFill="1"/>
    <xf numFmtId="0" fontId="1" fillId="7" borderId="0" xfId="0" applyFont="1" applyFill="1"/>
    <xf numFmtId="17" fontId="2" fillId="7" borderId="0" xfId="0" applyNumberFormat="1" applyFont="1" applyFill="1"/>
    <xf numFmtId="0" fontId="10" fillId="0" borderId="10" xfId="0" applyFont="1" applyBorder="1" applyAlignment="1">
      <alignment vertical="center"/>
    </xf>
    <xf numFmtId="0" fontId="0" fillId="0" borderId="10" xfId="0" applyBorder="1"/>
    <xf numFmtId="0" fontId="1" fillId="0" borderId="11" xfId="0" applyFont="1" applyBorder="1"/>
    <xf numFmtId="0" fontId="0" fillId="0" borderId="11" xfId="0" applyBorder="1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10" fontId="20" fillId="0" borderId="10" xfId="0" applyNumberFormat="1" applyFont="1" applyBorder="1"/>
    <xf numFmtId="10" fontId="0" fillId="0" borderId="10" xfId="0" applyNumberFormat="1" applyBorder="1"/>
    <xf numFmtId="10" fontId="1" fillId="0" borderId="11" xfId="4" applyNumberFormat="1" applyFont="1" applyBorder="1"/>
    <xf numFmtId="10" fontId="1" fillId="0" borderId="11" xfId="0" applyNumberFormat="1" applyFont="1" applyBorder="1"/>
    <xf numFmtId="166" fontId="0" fillId="0" borderId="10" xfId="0" applyNumberFormat="1" applyBorder="1"/>
    <xf numFmtId="166" fontId="1" fillId="0" borderId="12" xfId="0" applyNumberFormat="1" applyFont="1" applyBorder="1"/>
    <xf numFmtId="166" fontId="0" fillId="0" borderId="13" xfId="0" applyNumberFormat="1" applyBorder="1"/>
    <xf numFmtId="166" fontId="1" fillId="0" borderId="11" xfId="0" applyNumberFormat="1" applyFont="1" applyBorder="1"/>
    <xf numFmtId="0" fontId="1" fillId="11" borderId="0" xfId="0" applyFont="1" applyFill="1"/>
    <xf numFmtId="10" fontId="1" fillId="11" borderId="0" xfId="0" applyNumberFormat="1" applyFont="1" applyFill="1"/>
    <xf numFmtId="166" fontId="1" fillId="0" borderId="0" xfId="0" applyNumberFormat="1" applyFont="1"/>
    <xf numFmtId="175" fontId="2" fillId="7" borderId="0" xfId="0" applyNumberFormat="1" applyFont="1" applyFill="1"/>
    <xf numFmtId="174" fontId="2" fillId="7" borderId="0" xfId="0" applyNumberFormat="1" applyFont="1" applyFill="1"/>
    <xf numFmtId="166" fontId="2" fillId="6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166" fontId="19" fillId="0" borderId="0" xfId="0" applyNumberFormat="1" applyFont="1" applyBorder="1" applyAlignment="1">
      <alignment horizontal="right" vertical="center" wrapText="1"/>
    </xf>
    <xf numFmtId="0" fontId="13" fillId="0" borderId="6" xfId="0" applyFont="1" applyBorder="1" applyAlignment="1">
      <alignment vertical="center"/>
    </xf>
    <xf numFmtId="166" fontId="13" fillId="0" borderId="6" xfId="0" applyNumberFormat="1" applyFont="1" applyBorder="1" applyAlignment="1">
      <alignment horizontal="right" vertical="center" wrapText="1"/>
    </xf>
    <xf numFmtId="0" fontId="13" fillId="0" borderId="0" xfId="0" applyFont="1" applyBorder="1" applyAlignment="1">
      <alignment vertical="center"/>
    </xf>
    <xf numFmtId="166" fontId="13" fillId="0" borderId="8" xfId="0" applyNumberFormat="1" applyFont="1" applyBorder="1" applyAlignment="1">
      <alignment horizontal="right" vertical="center" wrapText="1"/>
    </xf>
    <xf numFmtId="166" fontId="10" fillId="0" borderId="0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vertical="center"/>
    </xf>
    <xf numFmtId="3" fontId="0" fillId="0" borderId="0" xfId="0" applyNumberFormat="1"/>
    <xf numFmtId="0" fontId="16" fillId="5" borderId="0" xfId="0" applyFont="1" applyFill="1" applyBorder="1" applyAlignment="1">
      <alignment vertical="center"/>
    </xf>
    <xf numFmtId="0" fontId="17" fillId="0" borderId="0" xfId="0" applyFont="1" applyBorder="1"/>
    <xf numFmtId="170" fontId="18" fillId="0" borderId="0" xfId="0" applyNumberFormat="1" applyFont="1" applyBorder="1"/>
    <xf numFmtId="0" fontId="18" fillId="0" borderId="0" xfId="0" applyFont="1" applyBorder="1"/>
    <xf numFmtId="9" fontId="18" fillId="0" borderId="0" xfId="0" applyNumberFormat="1" applyFont="1" applyBorder="1"/>
    <xf numFmtId="170" fontId="15" fillId="5" borderId="0" xfId="0" applyNumberFormat="1" applyFont="1" applyFill="1" applyBorder="1" applyAlignment="1">
      <alignment vertical="center" wrapText="1"/>
    </xf>
    <xf numFmtId="10" fontId="18" fillId="0" borderId="0" xfId="4" applyNumberFormat="1" applyFont="1" applyBorder="1"/>
    <xf numFmtId="10" fontId="18" fillId="0" borderId="8" xfId="4" applyNumberFormat="1" applyFont="1" applyBorder="1"/>
    <xf numFmtId="0" fontId="0" fillId="0" borderId="12" xfId="0" applyFont="1" applyBorder="1"/>
    <xf numFmtId="0" fontId="0" fillId="11" borderId="0" xfId="0" applyFill="1"/>
    <xf numFmtId="10" fontId="0" fillId="11" borderId="0" xfId="0" applyNumberFormat="1" applyFill="1"/>
    <xf numFmtId="0" fontId="0" fillId="12" borderId="0" xfId="0" applyFill="1"/>
    <xf numFmtId="0" fontId="0" fillId="12" borderId="10" xfId="0" applyFill="1" applyBorder="1"/>
    <xf numFmtId="10" fontId="14" fillId="12" borderId="10" xfId="0" applyNumberFormat="1" applyFont="1" applyFill="1" applyBorder="1"/>
    <xf numFmtId="10" fontId="6" fillId="0" borderId="10" xfId="0" applyNumberFormat="1" applyFont="1" applyBorder="1"/>
    <xf numFmtId="10" fontId="0" fillId="12" borderId="10" xfId="0" applyNumberFormat="1" applyFill="1" applyBorder="1"/>
    <xf numFmtId="10" fontId="14" fillId="0" borderId="10" xfId="0" applyNumberFormat="1" applyFont="1" applyBorder="1"/>
    <xf numFmtId="190" fontId="0" fillId="0" borderId="10" xfId="0" applyNumberFormat="1" applyBorder="1"/>
    <xf numFmtId="0" fontId="1" fillId="12" borderId="11" xfId="0" applyFont="1" applyFill="1" applyBorder="1"/>
    <xf numFmtId="174" fontId="2" fillId="0" borderId="0" xfId="0" applyNumberFormat="1" applyFont="1" applyFill="1"/>
    <xf numFmtId="175" fontId="2" fillId="0" borderId="0" xfId="0" applyNumberFormat="1" applyFont="1" applyFill="1"/>
    <xf numFmtId="2" fontId="0" fillId="12" borderId="10" xfId="0" applyNumberFormat="1" applyFill="1" applyBorder="1"/>
    <xf numFmtId="2" fontId="0" fillId="0" borderId="10" xfId="0" applyNumberFormat="1" applyBorder="1"/>
    <xf numFmtId="2" fontId="0" fillId="0" borderId="0" xfId="0" applyNumberFormat="1"/>
    <xf numFmtId="2" fontId="0" fillId="0" borderId="11" xfId="0" applyNumberFormat="1" applyBorder="1"/>
    <xf numFmtId="2" fontId="1" fillId="0" borderId="11" xfId="0" applyNumberFormat="1" applyFont="1" applyBorder="1"/>
    <xf numFmtId="2" fontId="1" fillId="0" borderId="0" xfId="0" applyNumberFormat="1" applyFont="1"/>
    <xf numFmtId="7" fontId="21" fillId="0" borderId="0" xfId="0" applyNumberFormat="1" applyFont="1"/>
    <xf numFmtId="168" fontId="1" fillId="0" borderId="0" xfId="0" applyNumberFormat="1" applyFont="1"/>
    <xf numFmtId="0" fontId="1" fillId="0" borderId="14" xfId="0" applyFont="1" applyBorder="1"/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10" fontId="0" fillId="0" borderId="0" xfId="0" applyNumberForma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9" fontId="0" fillId="0" borderId="0" xfId="4" applyFont="1" applyAlignment="1">
      <alignment horizontal="right"/>
    </xf>
    <xf numFmtId="10" fontId="0" fillId="0" borderId="0" xfId="4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0" fontId="0" fillId="11" borderId="0" xfId="4" applyNumberFormat="1" applyFont="1" applyFill="1" applyAlignment="1">
      <alignment horizontal="right"/>
    </xf>
    <xf numFmtId="2" fontId="0" fillId="11" borderId="0" xfId="0" applyNumberFormat="1" applyFill="1" applyAlignment="1">
      <alignment horizontal="right"/>
    </xf>
    <xf numFmtId="2" fontId="14" fillId="0" borderId="0" xfId="0" applyNumberFormat="1" applyFont="1" applyAlignment="1">
      <alignment horizontal="right"/>
    </xf>
    <xf numFmtId="0" fontId="1" fillId="0" borderId="15" xfId="0" applyFont="1" applyBorder="1" applyAlignment="1">
      <alignment horizontal="right"/>
    </xf>
    <xf numFmtId="10" fontId="0" fillId="0" borderId="15" xfId="0" applyNumberFormat="1" applyBorder="1" applyAlignment="1">
      <alignment horizontal="right"/>
    </xf>
    <xf numFmtId="0" fontId="1" fillId="0" borderId="14" xfId="0" applyFont="1" applyBorder="1" applyAlignment="1">
      <alignment horizontal="right"/>
    </xf>
    <xf numFmtId="10" fontId="0" fillId="0" borderId="14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15" xfId="0" applyBorder="1"/>
    <xf numFmtId="0" fontId="0" fillId="0" borderId="15" xfId="0" applyBorder="1" applyAlignment="1">
      <alignment horizontal="right"/>
    </xf>
    <xf numFmtId="0" fontId="1" fillId="0" borderId="14" xfId="0" applyFont="1" applyBorder="1" applyAlignment="1">
      <alignment horizontal="left"/>
    </xf>
    <xf numFmtId="0" fontId="0" fillId="0" borderId="0" xfId="0" applyAlignment="1"/>
    <xf numFmtId="0" fontId="0" fillId="0" borderId="15" xfId="0" applyBorder="1" applyAlignment="1"/>
    <xf numFmtId="166" fontId="0" fillId="0" borderId="15" xfId="0" applyNumberFormat="1" applyBorder="1" applyAlignment="1">
      <alignment horizontal="right"/>
    </xf>
    <xf numFmtId="10" fontId="1" fillId="0" borderId="0" xfId="0" applyNumberFormat="1" applyFont="1" applyAlignment="1">
      <alignment horizontal="right"/>
    </xf>
    <xf numFmtId="10" fontId="1" fillId="11" borderId="0" xfId="4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16" xfId="0" applyFont="1" applyBorder="1"/>
    <xf numFmtId="10" fontId="1" fillId="0" borderId="16" xfId="0" applyNumberFormat="1" applyFont="1" applyBorder="1"/>
    <xf numFmtId="0" fontId="1" fillId="11" borderId="0" xfId="0" applyFont="1" applyFill="1" applyAlignment="1"/>
    <xf numFmtId="0" fontId="1" fillId="11" borderId="0" xfId="0" applyFont="1" applyFill="1" applyAlignment="1">
      <alignment horizontal="right"/>
    </xf>
    <xf numFmtId="10" fontId="1" fillId="11" borderId="0" xfId="0" applyNumberFormat="1" applyFont="1" applyFill="1" applyAlignment="1">
      <alignment horizontal="right"/>
    </xf>
    <xf numFmtId="2" fontId="1" fillId="11" borderId="15" xfId="0" applyNumberFormat="1" applyFont="1" applyFill="1" applyBorder="1" applyAlignment="1">
      <alignment horizontal="right"/>
    </xf>
    <xf numFmtId="10" fontId="1" fillId="11" borderId="15" xfId="0" applyNumberFormat="1" applyFont="1" applyFill="1" applyBorder="1" applyAlignment="1">
      <alignment horizontal="right"/>
    </xf>
    <xf numFmtId="0" fontId="1" fillId="13" borderId="0" xfId="0" applyFont="1" applyFill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66"/>
      <color rgb="FF0000FF"/>
      <color rgb="FF3333FF"/>
      <color rgb="FF0000CC"/>
      <color rgb="FF000099"/>
      <color rgb="FF0275D8"/>
      <color rgb="FF333399"/>
      <color rgb="FFB2B2B2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FF1A-04C2-4135-BEEE-A259D55605D8}">
  <sheetPr>
    <tabColor rgb="FF002060"/>
  </sheetPr>
  <dimension ref="A1"/>
  <sheetViews>
    <sheetView showGridLines="0" workbookViewId="0">
      <selection activeCell="K45" sqref="K4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D9E6-F90D-45D5-9C62-92D76DF6FF56}">
  <dimension ref="A1:P182"/>
  <sheetViews>
    <sheetView showGridLines="0" zoomScale="115" zoomScaleNormal="115" workbookViewId="0">
      <pane ySplit="3" topLeftCell="A4" activePane="bottomLeft" state="frozen"/>
      <selection pane="bottomLeft" activeCell="B3" sqref="B3"/>
    </sheetView>
  </sheetViews>
  <sheetFormatPr defaultRowHeight="14.4" outlineLevelRow="1" x14ac:dyDescent="0.3"/>
  <cols>
    <col min="1" max="1" width="1.77734375" customWidth="1"/>
    <col min="2" max="2" width="27.88671875" style="14" bestFit="1" customWidth="1"/>
    <col min="3" max="3" width="10.21875" style="14" bestFit="1" customWidth="1"/>
    <col min="4" max="4" width="11.77734375" style="12" bestFit="1" customWidth="1"/>
    <col min="5" max="12" width="11.6640625" style="12" bestFit="1" customWidth="1"/>
    <col min="13" max="13" width="13.88671875" style="13" customWidth="1"/>
  </cols>
  <sheetData>
    <row r="1" spans="1:16" ht="12.6" customHeight="1" x14ac:dyDescent="0.3"/>
    <row r="2" spans="1:16" x14ac:dyDescent="0.3">
      <c r="B2" s="161" t="str">
        <f>"Historical Financial Statement"&amp;" - "&amp;'Data Sheet'!B1</f>
        <v>Historical Financial Statement - ASIAN PAINTS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6" x14ac:dyDescent="0.3">
      <c r="B3" s="51" t="s">
        <v>56</v>
      </c>
      <c r="C3" s="52">
        <v>42460</v>
      </c>
      <c r="D3" s="52">
        <v>42825</v>
      </c>
      <c r="E3" s="52">
        <v>43190</v>
      </c>
      <c r="F3" s="52">
        <v>43555</v>
      </c>
      <c r="G3" s="52">
        <v>43921</v>
      </c>
      <c r="H3" s="52">
        <v>44286</v>
      </c>
      <c r="I3" s="52">
        <v>44651</v>
      </c>
      <c r="J3" s="52">
        <v>45016</v>
      </c>
      <c r="K3" s="52">
        <v>45382</v>
      </c>
      <c r="L3" s="52">
        <v>45747</v>
      </c>
      <c r="M3" s="53" t="s">
        <v>111</v>
      </c>
      <c r="N3" s="10"/>
      <c r="O3" s="10"/>
      <c r="P3" s="10"/>
    </row>
    <row r="4" spans="1:16" x14ac:dyDescent="0.3">
      <c r="B4" s="47"/>
      <c r="C4" s="102"/>
      <c r="D4" s="48"/>
      <c r="E4" s="48"/>
      <c r="F4" s="48"/>
      <c r="G4" s="48"/>
      <c r="H4" s="48"/>
      <c r="I4" s="48"/>
      <c r="J4" s="48"/>
      <c r="K4" s="48"/>
      <c r="L4" s="48"/>
      <c r="M4" s="49"/>
      <c r="N4" s="10"/>
      <c r="O4" s="10"/>
      <c r="P4" s="10"/>
    </row>
    <row r="5" spans="1:16" x14ac:dyDescent="0.3">
      <c r="A5" s="2" t="s">
        <v>58</v>
      </c>
      <c r="B5" s="54" t="s">
        <v>57</v>
      </c>
      <c r="C5" s="103"/>
      <c r="D5" s="55"/>
      <c r="E5" s="55"/>
      <c r="F5" s="55"/>
      <c r="G5" s="55"/>
      <c r="H5" s="55"/>
      <c r="I5" s="55"/>
      <c r="J5" s="55"/>
      <c r="K5" s="55"/>
      <c r="L5" s="55"/>
      <c r="M5" s="55"/>
      <c r="N5" s="10"/>
      <c r="O5" s="10"/>
      <c r="P5" s="10"/>
    </row>
    <row r="6" spans="1:16" outlineLevel="1" x14ac:dyDescent="0.3">
      <c r="B6" s="44" t="s">
        <v>1</v>
      </c>
      <c r="C6" s="50">
        <f>IFERROR('Data Sheet'!B17,0)</f>
        <v>14271.49</v>
      </c>
      <c r="D6" s="50">
        <f>IFERROR('Data Sheet'!C17,0)</f>
        <v>15061.99</v>
      </c>
      <c r="E6" s="50">
        <f>IFERROR('Data Sheet'!D17,0)</f>
        <v>16824.55</v>
      </c>
      <c r="F6" s="50">
        <f>IFERROR('Data Sheet'!E17,0)</f>
        <v>19240.13</v>
      </c>
      <c r="G6" s="50">
        <f>IFERROR('Data Sheet'!F17,0)</f>
        <v>20211.25</v>
      </c>
      <c r="H6" s="50">
        <f>IFERROR('Data Sheet'!G17,0)</f>
        <v>21712.79</v>
      </c>
      <c r="I6" s="50">
        <f>IFERROR('Data Sheet'!H17,0)</f>
        <v>29101.279999999999</v>
      </c>
      <c r="J6" s="50">
        <f>IFERROR('Data Sheet'!I17,0)</f>
        <v>34488.589999999997</v>
      </c>
      <c r="K6" s="50">
        <f>IFERROR('Data Sheet'!J17,0)</f>
        <v>35494.730000000003</v>
      </c>
      <c r="L6" s="50">
        <f>IFERROR('Data Sheet'!K17,0)</f>
        <v>33905.620000000003</v>
      </c>
      <c r="M6" s="50">
        <f>IFERROR(SUM('Data Sheet'!H42:K42),0)</f>
        <v>34695.75</v>
      </c>
      <c r="N6" s="10"/>
      <c r="O6" s="10"/>
      <c r="P6" s="10"/>
    </row>
    <row r="7" spans="1:16" outlineLevel="1" x14ac:dyDescent="0.3">
      <c r="B7" s="36" t="s">
        <v>10</v>
      </c>
      <c r="C7" s="37"/>
      <c r="D7" s="37">
        <f>D6/C6-1</f>
        <v>5.5390151974320734E-2</v>
      </c>
      <c r="E7" s="37">
        <f>E6/D6-1</f>
        <v>0.11702039371955486</v>
      </c>
      <c r="F7" s="37">
        <f t="shared" ref="F7:M7" si="0">F6/E6-1</f>
        <v>0.14357471670861943</v>
      </c>
      <c r="G7" s="37">
        <f t="shared" si="0"/>
        <v>5.0473671435691925E-2</v>
      </c>
      <c r="H7" s="37">
        <f t="shared" si="0"/>
        <v>7.4292287711052118E-2</v>
      </c>
      <c r="I7" s="37">
        <f t="shared" si="0"/>
        <v>0.34028284711453471</v>
      </c>
      <c r="J7" s="37">
        <f t="shared" si="0"/>
        <v>0.18512278497715551</v>
      </c>
      <c r="K7" s="37">
        <f t="shared" si="0"/>
        <v>2.9173126532572313E-2</v>
      </c>
      <c r="L7" s="37">
        <f t="shared" si="0"/>
        <v>-4.4770308155605121E-2</v>
      </c>
      <c r="M7" s="37">
        <f t="shared" si="0"/>
        <v>2.3303806271644634E-2</v>
      </c>
      <c r="N7" s="10"/>
      <c r="O7" s="10"/>
      <c r="P7" s="10"/>
    </row>
    <row r="8" spans="1:16" outlineLevel="1" x14ac:dyDescent="0.3">
      <c r="B8" s="44"/>
      <c r="C8" s="50"/>
      <c r="D8" s="50"/>
      <c r="E8" s="50"/>
      <c r="F8" s="50"/>
      <c r="G8" s="50"/>
      <c r="H8" s="50"/>
      <c r="I8" s="50"/>
      <c r="J8" s="50"/>
      <c r="K8" s="50"/>
      <c r="L8" s="50"/>
      <c r="M8" s="49"/>
      <c r="N8" s="10"/>
      <c r="O8" s="10"/>
      <c r="P8" s="10"/>
    </row>
    <row r="9" spans="1:16" outlineLevel="1" x14ac:dyDescent="0.3">
      <c r="B9" s="44" t="s">
        <v>112</v>
      </c>
      <c r="C9" s="50">
        <f>IFERROR(SUM('Data Sheet'!B18,'Data Sheet'!B20:B22)-1*'Data Sheet'!B19,0)</f>
        <v>9413.8399999999983</v>
      </c>
      <c r="D9" s="50">
        <f>IFERROR(SUM('Data Sheet'!C18,'Data Sheet'!C20:C22)-1*'Data Sheet'!C19,0)</f>
        <v>9732.66</v>
      </c>
      <c r="E9" s="50">
        <f>IFERROR(SUM('Data Sheet'!D18,'Data Sheet'!D20:D22)-1*'Data Sheet'!D19,0)</f>
        <v>11194.169999999998</v>
      </c>
      <c r="F9" s="50">
        <f>IFERROR(SUM('Data Sheet'!E18,'Data Sheet'!E20:E22)-1*'Data Sheet'!E19,0)</f>
        <v>12905.81</v>
      </c>
      <c r="G9" s="50">
        <f>IFERROR(SUM('Data Sheet'!F18,'Data Sheet'!F20:F22)-1*'Data Sheet'!F19,0)</f>
        <v>13158.020000000002</v>
      </c>
      <c r="H9" s="50">
        <f>IFERROR(SUM('Data Sheet'!G18,'Data Sheet'!G20:G22)-1*'Data Sheet'!G19,0)</f>
        <v>14035.069999999998</v>
      </c>
      <c r="I9" s="50">
        <f>IFERROR(SUM('Data Sheet'!H18,'Data Sheet'!H20:H22)-1*'Data Sheet'!H19,0)</f>
        <v>20590.57</v>
      </c>
      <c r="J9" s="50">
        <f>IFERROR(SUM('Data Sheet'!I18,'Data Sheet'!I20:I22)-1*'Data Sheet'!I19,0)</f>
        <v>23766.7</v>
      </c>
      <c r="K9" s="50">
        <f>IFERROR(SUM('Data Sheet'!J18,'Data Sheet'!J20:J22)-1*'Data Sheet'!J19,0)</f>
        <v>23009.99</v>
      </c>
      <c r="L9" s="50">
        <f>IFERROR(SUM('Data Sheet'!K18,'Data Sheet'!K20:K22)-1*'Data Sheet'!K19,0)</f>
        <v>22741.27</v>
      </c>
      <c r="M9" s="50">
        <f>SUM('Data Sheet'!H43:K43)</f>
        <v>28350.240000000002</v>
      </c>
      <c r="N9" s="10"/>
      <c r="O9" s="10"/>
      <c r="P9" s="10"/>
    </row>
    <row r="10" spans="1:16" outlineLevel="1" x14ac:dyDescent="0.3">
      <c r="B10" s="36" t="s">
        <v>113</v>
      </c>
      <c r="C10" s="37">
        <f>C9/C6</f>
        <v>0.65962558919916547</v>
      </c>
      <c r="D10" s="37">
        <f t="shared" ref="D10:M10" si="1">D9/D6</f>
        <v>0.64617357998511482</v>
      </c>
      <c r="E10" s="37">
        <f t="shared" si="1"/>
        <v>0.66534736441687881</v>
      </c>
      <c r="F10" s="37">
        <f t="shared" si="1"/>
        <v>0.67077561326248825</v>
      </c>
      <c r="G10" s="37">
        <f t="shared" si="1"/>
        <v>0.65102455315727636</v>
      </c>
      <c r="H10" s="37">
        <f t="shared" si="1"/>
        <v>0.64639643270164715</v>
      </c>
      <c r="I10" s="37">
        <f t="shared" si="1"/>
        <v>0.70754860267314701</v>
      </c>
      <c r="J10" s="37">
        <f t="shared" si="1"/>
        <v>0.68911776329504926</v>
      </c>
      <c r="K10" s="37">
        <f t="shared" si="1"/>
        <v>0.64826496778535858</v>
      </c>
      <c r="L10" s="37">
        <f t="shared" si="1"/>
        <v>0.67072272974214886</v>
      </c>
      <c r="M10" s="37">
        <f t="shared" si="1"/>
        <v>0.81710987656989698</v>
      </c>
      <c r="N10" s="10"/>
      <c r="O10" s="10"/>
      <c r="P10" s="10"/>
    </row>
    <row r="11" spans="1:16" outlineLevel="1" x14ac:dyDescent="0.3"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12"/>
    </row>
    <row r="12" spans="1:16" outlineLevel="1" x14ac:dyDescent="0.3">
      <c r="B12" s="60" t="s">
        <v>59</v>
      </c>
      <c r="C12" s="59">
        <f>C6-C9</f>
        <v>4857.6500000000015</v>
      </c>
      <c r="D12" s="59">
        <f t="shared" ref="D12:M12" si="2">D6-D9</f>
        <v>5329.33</v>
      </c>
      <c r="E12" s="59">
        <f t="shared" si="2"/>
        <v>5630.380000000001</v>
      </c>
      <c r="F12" s="59">
        <f t="shared" si="2"/>
        <v>6334.3200000000015</v>
      </c>
      <c r="G12" s="59">
        <f t="shared" si="2"/>
        <v>7053.2299999999977</v>
      </c>
      <c r="H12" s="59">
        <f t="shared" si="2"/>
        <v>7677.720000000003</v>
      </c>
      <c r="I12" s="59">
        <f t="shared" si="2"/>
        <v>8510.7099999999991</v>
      </c>
      <c r="J12" s="59">
        <f t="shared" si="2"/>
        <v>10721.889999999996</v>
      </c>
      <c r="K12" s="59">
        <f t="shared" si="2"/>
        <v>12484.740000000002</v>
      </c>
      <c r="L12" s="59">
        <f t="shared" si="2"/>
        <v>11164.350000000002</v>
      </c>
      <c r="M12" s="59">
        <f t="shared" si="2"/>
        <v>6345.5099999999984</v>
      </c>
    </row>
    <row r="13" spans="1:16" outlineLevel="1" x14ac:dyDescent="0.3">
      <c r="B13" s="35" t="s">
        <v>114</v>
      </c>
      <c r="C13" s="37">
        <f>C12/C6</f>
        <v>0.34037441080083447</v>
      </c>
      <c r="D13" s="37">
        <f t="shared" ref="D13:M13" si="3">D12/D6</f>
        <v>0.35382642001488518</v>
      </c>
      <c r="E13" s="37">
        <f t="shared" si="3"/>
        <v>0.33465263558312119</v>
      </c>
      <c r="F13" s="37">
        <f t="shared" si="3"/>
        <v>0.3292243867375117</v>
      </c>
      <c r="G13" s="37">
        <f t="shared" si="3"/>
        <v>0.34897544684272364</v>
      </c>
      <c r="H13" s="37">
        <f t="shared" si="3"/>
        <v>0.35360356729835285</v>
      </c>
      <c r="I13" s="37">
        <f t="shared" si="3"/>
        <v>0.29245139732685294</v>
      </c>
      <c r="J13" s="37">
        <f t="shared" si="3"/>
        <v>0.31088223670495074</v>
      </c>
      <c r="K13" s="37">
        <f t="shared" si="3"/>
        <v>0.35173503221464147</v>
      </c>
      <c r="L13" s="37">
        <f t="shared" si="3"/>
        <v>0.32927727025785108</v>
      </c>
      <c r="M13" s="37">
        <f t="shared" si="3"/>
        <v>0.18289012343010305</v>
      </c>
    </row>
    <row r="14" spans="1:16" outlineLevel="1" x14ac:dyDescent="0.3">
      <c r="B14" s="35"/>
      <c r="C14" s="57"/>
      <c r="D14" s="40"/>
      <c r="E14" s="40"/>
      <c r="F14" s="40"/>
      <c r="G14" s="40"/>
      <c r="H14" s="40"/>
      <c r="I14" s="40"/>
      <c r="J14" s="40"/>
      <c r="K14" s="40"/>
      <c r="L14" s="40"/>
      <c r="M14" s="12"/>
    </row>
    <row r="15" spans="1:16" outlineLevel="1" x14ac:dyDescent="0.3">
      <c r="B15" s="33" t="s">
        <v>60</v>
      </c>
      <c r="C15" s="34">
        <f>IFERROR(SUM('Data Sheet'!B23:B24),0)</f>
        <v>2132.61</v>
      </c>
      <c r="D15" s="34">
        <f>IFERROR(SUM('Data Sheet'!C23:C24),0)</f>
        <v>2335.5699999999997</v>
      </c>
      <c r="E15" s="34">
        <f>IFERROR(SUM('Data Sheet'!D23:D24),0)</f>
        <v>2426.37</v>
      </c>
      <c r="F15" s="34">
        <f>IFERROR(SUM('Data Sheet'!E23:E24),0)</f>
        <v>2569.38</v>
      </c>
      <c r="G15" s="34">
        <f>IFERROR(SUM('Data Sheet'!F23:F24),0)</f>
        <v>2891.46</v>
      </c>
      <c r="H15" s="34">
        <f>IFERROR(SUM('Data Sheet'!G23:G24),0)</f>
        <v>2822.12</v>
      </c>
      <c r="I15" s="34">
        <f>IFERROR(SUM('Data Sheet'!H23:H24),0)</f>
        <v>3707.1</v>
      </c>
      <c r="J15" s="34">
        <f>IFERROR(SUM('Data Sheet'!I23:I24),0)</f>
        <v>4462.05</v>
      </c>
      <c r="K15" s="34">
        <f>IFERROR(SUM('Data Sheet'!J23:J24),0)</f>
        <v>4899.76</v>
      </c>
      <c r="L15" s="34">
        <f>IFERROR(SUM('Data Sheet'!K23:K24),0)</f>
        <v>5158.1400000000003</v>
      </c>
      <c r="M15" s="12">
        <v>0</v>
      </c>
    </row>
    <row r="16" spans="1:16" outlineLevel="1" x14ac:dyDescent="0.3">
      <c r="B16" s="35" t="s">
        <v>61</v>
      </c>
      <c r="C16" s="37">
        <f>C15/C6</f>
        <v>0.14943148893353111</v>
      </c>
      <c r="D16" s="37">
        <f t="shared" ref="D16:M16" si="4">D15/D6</f>
        <v>0.15506383950593511</v>
      </c>
      <c r="E16" s="37">
        <f t="shared" si="4"/>
        <v>0.14421604143944414</v>
      </c>
      <c r="F16" s="37">
        <f t="shared" si="4"/>
        <v>0.13354275672773522</v>
      </c>
      <c r="G16" s="37">
        <f t="shared" si="4"/>
        <v>0.14306190859051271</v>
      </c>
      <c r="H16" s="37">
        <f t="shared" si="4"/>
        <v>0.12997500551518251</v>
      </c>
      <c r="I16" s="37">
        <f t="shared" si="4"/>
        <v>0.1273861493377611</v>
      </c>
      <c r="J16" s="37">
        <f t="shared" si="4"/>
        <v>0.12937757095897515</v>
      </c>
      <c r="K16" s="37">
        <f t="shared" si="4"/>
        <v>0.1380419008681007</v>
      </c>
      <c r="L16" s="37">
        <f t="shared" si="4"/>
        <v>0.15213230137068723</v>
      </c>
      <c r="M16" s="37">
        <f t="shared" si="4"/>
        <v>0</v>
      </c>
    </row>
    <row r="17" spans="2:13" outlineLevel="1" x14ac:dyDescent="0.3"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12"/>
    </row>
    <row r="18" spans="2:13" outlineLevel="1" x14ac:dyDescent="0.3">
      <c r="B18" s="60" t="s">
        <v>110</v>
      </c>
      <c r="C18" s="59">
        <f>C12-C15</f>
        <v>2725.0400000000013</v>
      </c>
      <c r="D18" s="59">
        <f t="shared" ref="D18:M18" si="5">D12-D15</f>
        <v>2993.76</v>
      </c>
      <c r="E18" s="59">
        <f t="shared" si="5"/>
        <v>3204.0100000000011</v>
      </c>
      <c r="F18" s="59">
        <f t="shared" si="5"/>
        <v>3764.9400000000014</v>
      </c>
      <c r="G18" s="59">
        <f t="shared" si="5"/>
        <v>4161.7699999999977</v>
      </c>
      <c r="H18" s="59">
        <f t="shared" si="5"/>
        <v>4855.6000000000031</v>
      </c>
      <c r="I18" s="59">
        <f t="shared" si="5"/>
        <v>4803.6099999999988</v>
      </c>
      <c r="J18" s="59">
        <f t="shared" si="5"/>
        <v>6259.8399999999956</v>
      </c>
      <c r="K18" s="59">
        <f t="shared" si="5"/>
        <v>7584.9800000000014</v>
      </c>
      <c r="L18" s="59">
        <f t="shared" si="5"/>
        <v>6006.2100000000019</v>
      </c>
      <c r="M18" s="59">
        <f t="shared" si="5"/>
        <v>6345.5099999999984</v>
      </c>
    </row>
    <row r="19" spans="2:13" outlineLevel="1" x14ac:dyDescent="0.3">
      <c r="B19" s="35" t="s">
        <v>86</v>
      </c>
      <c r="C19" s="37">
        <f>C18/C6</f>
        <v>0.19094292186730338</v>
      </c>
      <c r="D19" s="37">
        <f t="shared" ref="D19:M19" si="6">D18/D6</f>
        <v>0.19876258050895004</v>
      </c>
      <c r="E19" s="37">
        <f t="shared" si="6"/>
        <v>0.19043659414367703</v>
      </c>
      <c r="F19" s="37">
        <f t="shared" si="6"/>
        <v>0.19568163000977651</v>
      </c>
      <c r="G19" s="37">
        <f t="shared" si="6"/>
        <v>0.2059135382522109</v>
      </c>
      <c r="H19" s="37">
        <f t="shared" si="6"/>
        <v>0.22362856178317034</v>
      </c>
      <c r="I19" s="37">
        <f t="shared" si="6"/>
        <v>0.16506524798909186</v>
      </c>
      <c r="J19" s="37">
        <f t="shared" si="6"/>
        <v>0.1815046657459756</v>
      </c>
      <c r="K19" s="37">
        <f t="shared" si="6"/>
        <v>0.21369313134654075</v>
      </c>
      <c r="L19" s="37">
        <f t="shared" si="6"/>
        <v>0.17714496888716388</v>
      </c>
      <c r="M19" s="37">
        <f t="shared" si="6"/>
        <v>0.18289012343010305</v>
      </c>
    </row>
    <row r="20" spans="2:13" outlineLevel="1" x14ac:dyDescent="0.3">
      <c r="B20" s="33"/>
      <c r="C20" s="34"/>
      <c r="D20" s="41"/>
      <c r="E20" s="41"/>
      <c r="F20" s="41"/>
      <c r="G20" s="41"/>
      <c r="H20" s="41"/>
      <c r="I20" s="41"/>
      <c r="J20" s="41"/>
      <c r="K20" s="41"/>
      <c r="L20" s="41"/>
      <c r="M20" s="12"/>
    </row>
    <row r="21" spans="2:13" outlineLevel="1" x14ac:dyDescent="0.3">
      <c r="B21" s="33" t="s">
        <v>6</v>
      </c>
      <c r="C21" s="34">
        <f>IFERROR('Data Sheet'!B27,0)</f>
        <v>49</v>
      </c>
      <c r="D21" s="34">
        <f>IFERROR('Data Sheet'!C27,0)</f>
        <v>37.33</v>
      </c>
      <c r="E21" s="34">
        <f>IFERROR('Data Sheet'!D27,0)</f>
        <v>41.47</v>
      </c>
      <c r="F21" s="34">
        <f>IFERROR('Data Sheet'!E27,0)</f>
        <v>110.47</v>
      </c>
      <c r="G21" s="34">
        <f>IFERROR('Data Sheet'!F27,0)</f>
        <v>102.33</v>
      </c>
      <c r="H21" s="34">
        <f>IFERROR('Data Sheet'!G27,0)</f>
        <v>91.63</v>
      </c>
      <c r="I21" s="34">
        <f>IFERROR('Data Sheet'!H27,0)</f>
        <v>95.41</v>
      </c>
      <c r="J21" s="34">
        <f>IFERROR('Data Sheet'!I27,0)</f>
        <v>144.44999999999999</v>
      </c>
      <c r="K21" s="34">
        <f>IFERROR('Data Sheet'!J27,0)</f>
        <v>205.17</v>
      </c>
      <c r="L21" s="34">
        <f>IFERROR('Data Sheet'!K27,0)</f>
        <v>227.02</v>
      </c>
      <c r="M21" s="50">
        <f>SUM('Data Sheet'!H46:K46)</f>
        <v>189.1</v>
      </c>
    </row>
    <row r="22" spans="2:13" outlineLevel="1" x14ac:dyDescent="0.3">
      <c r="B22" s="35" t="s">
        <v>115</v>
      </c>
      <c r="C22" s="37">
        <f>C21/C6</f>
        <v>3.4334186549547386E-3</v>
      </c>
      <c r="D22" s="37">
        <f t="shared" ref="D22:M22" si="7">D21/D6</f>
        <v>2.4784241657310885E-3</v>
      </c>
      <c r="E22" s="37">
        <f t="shared" si="7"/>
        <v>2.4648504714836358E-3</v>
      </c>
      <c r="F22" s="37">
        <f t="shared" si="7"/>
        <v>5.7416451967840128E-3</v>
      </c>
      <c r="G22" s="37">
        <f t="shared" si="7"/>
        <v>5.0630218319005502E-3</v>
      </c>
      <c r="H22" s="37">
        <f t="shared" si="7"/>
        <v>4.2200933182700148E-3</v>
      </c>
      <c r="I22" s="37">
        <f t="shared" si="7"/>
        <v>3.2785499469439143E-3</v>
      </c>
      <c r="J22" s="37">
        <f t="shared" si="7"/>
        <v>4.1883417095335005E-3</v>
      </c>
      <c r="K22" s="37">
        <f t="shared" si="7"/>
        <v>5.7802947085384216E-3</v>
      </c>
      <c r="L22" s="37">
        <f t="shared" si="7"/>
        <v>6.6956451467337858E-3</v>
      </c>
      <c r="M22" s="37">
        <f t="shared" si="7"/>
        <v>5.4502352593617373E-3</v>
      </c>
    </row>
    <row r="23" spans="2:13" outlineLevel="1" x14ac:dyDescent="0.3"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12"/>
    </row>
    <row r="24" spans="2:13" outlineLevel="1" x14ac:dyDescent="0.3">
      <c r="B24" s="33" t="s">
        <v>62</v>
      </c>
      <c r="C24" s="34">
        <f>IFERROR('Data Sheet'!B26,0)</f>
        <v>275.58</v>
      </c>
      <c r="D24" s="34">
        <f>IFERROR('Data Sheet'!C26,0)</f>
        <v>334.79</v>
      </c>
      <c r="E24" s="34">
        <f>IFERROR('Data Sheet'!D26,0)</f>
        <v>360.47</v>
      </c>
      <c r="F24" s="34">
        <f>IFERROR('Data Sheet'!E26,0)</f>
        <v>622.14</v>
      </c>
      <c r="G24" s="34">
        <f>IFERROR('Data Sheet'!F26,0)</f>
        <v>780.5</v>
      </c>
      <c r="H24" s="34">
        <f>IFERROR('Data Sheet'!G26,0)</f>
        <v>791.27</v>
      </c>
      <c r="I24" s="34">
        <f>IFERROR('Data Sheet'!H26,0)</f>
        <v>816.36</v>
      </c>
      <c r="J24" s="34">
        <f>IFERROR('Data Sheet'!I26,0)</f>
        <v>858.02</v>
      </c>
      <c r="K24" s="34">
        <f>IFERROR('Data Sheet'!J26,0)</f>
        <v>853</v>
      </c>
      <c r="L24" s="34">
        <f>IFERROR('Data Sheet'!K26,0)</f>
        <v>1026.3399999999999</v>
      </c>
      <c r="M24" s="50">
        <f>SUM('Data Sheet'!H45:K45)</f>
        <v>1219.97</v>
      </c>
    </row>
    <row r="25" spans="2:13" outlineLevel="1" x14ac:dyDescent="0.3">
      <c r="B25" s="35" t="s">
        <v>63</v>
      </c>
      <c r="C25" s="37">
        <f>C24/C6</f>
        <v>1.9309826794539322E-2</v>
      </c>
      <c r="D25" s="37">
        <f t="shared" ref="D25:M25" si="8">D24/D6</f>
        <v>2.2227474590011016E-2</v>
      </c>
      <c r="E25" s="37">
        <f t="shared" si="8"/>
        <v>2.1425238713665449E-2</v>
      </c>
      <c r="F25" s="37">
        <f t="shared" si="8"/>
        <v>3.2335540352378074E-2</v>
      </c>
      <c r="G25" s="37">
        <f t="shared" si="8"/>
        <v>3.8617106809326486E-2</v>
      </c>
      <c r="H25" s="37">
        <f t="shared" si="8"/>
        <v>3.6442576011650275E-2</v>
      </c>
      <c r="I25" s="37">
        <f t="shared" si="8"/>
        <v>2.8052374328551871E-2</v>
      </c>
      <c r="J25" s="37">
        <f t="shared" si="8"/>
        <v>2.4878372818372688E-2</v>
      </c>
      <c r="K25" s="37">
        <f t="shared" si="8"/>
        <v>2.4031736542297968E-2</v>
      </c>
      <c r="L25" s="37">
        <f t="shared" si="8"/>
        <v>3.0270497929251843E-2</v>
      </c>
      <c r="M25" s="37">
        <f t="shared" si="8"/>
        <v>3.5161943465698252E-2</v>
      </c>
    </row>
    <row r="26" spans="2:13" outlineLevel="1" x14ac:dyDescent="0.3"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12"/>
    </row>
    <row r="27" spans="2:13" outlineLevel="1" x14ac:dyDescent="0.3">
      <c r="B27" s="60" t="s">
        <v>65</v>
      </c>
      <c r="C27" s="59">
        <f>C18-SUM(C21,C24)</f>
        <v>2400.4600000000014</v>
      </c>
      <c r="D27" s="59">
        <f t="shared" ref="D27:M27" si="9">D18-SUM(D21,D24)</f>
        <v>2621.6400000000003</v>
      </c>
      <c r="E27" s="59">
        <f t="shared" si="9"/>
        <v>2802.0700000000011</v>
      </c>
      <c r="F27" s="59">
        <f t="shared" si="9"/>
        <v>3032.3300000000013</v>
      </c>
      <c r="G27" s="59">
        <f t="shared" si="9"/>
        <v>3278.9399999999978</v>
      </c>
      <c r="H27" s="59">
        <f t="shared" si="9"/>
        <v>3972.700000000003</v>
      </c>
      <c r="I27" s="59">
        <f t="shared" si="9"/>
        <v>3891.8399999999988</v>
      </c>
      <c r="J27" s="59">
        <f t="shared" si="9"/>
        <v>5257.3699999999953</v>
      </c>
      <c r="K27" s="59">
        <f t="shared" si="9"/>
        <v>6526.8100000000013</v>
      </c>
      <c r="L27" s="59">
        <f t="shared" si="9"/>
        <v>4752.8500000000022</v>
      </c>
      <c r="M27" s="59">
        <f t="shared" si="9"/>
        <v>4936.4399999999987</v>
      </c>
    </row>
    <row r="28" spans="2:13" outlineLevel="1" x14ac:dyDescent="0.3">
      <c r="B28" s="35" t="s">
        <v>91</v>
      </c>
      <c r="C28" s="37">
        <f>C27/C6</f>
        <v>0.16819967641780931</v>
      </c>
      <c r="D28" s="37">
        <f t="shared" ref="D28:M28" si="10">D27/D6</f>
        <v>0.17405668175320793</v>
      </c>
      <c r="E28" s="37">
        <f t="shared" si="10"/>
        <v>0.16654650495852794</v>
      </c>
      <c r="F28" s="37">
        <f t="shared" si="10"/>
        <v>0.15760444446061442</v>
      </c>
      <c r="G28" s="37">
        <f t="shared" si="10"/>
        <v>0.16223340961098387</v>
      </c>
      <c r="H28" s="37">
        <f t="shared" si="10"/>
        <v>0.18296589245325004</v>
      </c>
      <c r="I28" s="37">
        <f t="shared" si="10"/>
        <v>0.13373432371359606</v>
      </c>
      <c r="J28" s="37">
        <f t="shared" si="10"/>
        <v>0.15243795121806938</v>
      </c>
      <c r="K28" s="37">
        <f t="shared" si="10"/>
        <v>0.18388110009570438</v>
      </c>
      <c r="L28" s="37">
        <f t="shared" si="10"/>
        <v>0.14017882581117827</v>
      </c>
      <c r="M28" s="37">
        <f t="shared" si="10"/>
        <v>0.1422779447050431</v>
      </c>
    </row>
    <row r="29" spans="2:13" outlineLevel="1" x14ac:dyDescent="0.3"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12"/>
    </row>
    <row r="30" spans="2:13" outlineLevel="1" x14ac:dyDescent="0.3">
      <c r="B30" s="33" t="s">
        <v>8</v>
      </c>
      <c r="C30" s="34">
        <f>IFERROR('Data Sheet'!B48,0)</f>
        <v>418.55</v>
      </c>
      <c r="D30" s="34">
        <f>IFERROR('Data Sheet'!C48,0)</f>
        <v>492.62</v>
      </c>
      <c r="E30" s="34">
        <f>IFERROR('Data Sheet'!D48,0)</f>
        <v>348.79</v>
      </c>
      <c r="F30" s="34">
        <f>IFERROR('Data Sheet'!E48,0)</f>
        <v>416.83</v>
      </c>
      <c r="G30" s="34">
        <f>IFERROR('Data Sheet'!F48,0)</f>
        <v>265.38</v>
      </c>
      <c r="H30" s="34">
        <f>IFERROR('Data Sheet'!G48,0)</f>
        <v>389.73</v>
      </c>
      <c r="I30" s="34">
        <f>IFERROR('Data Sheet'!H48,0)</f>
        <v>321.42</v>
      </c>
      <c r="J30" s="34">
        <f>IFERROR('Data Sheet'!I48,0)</f>
        <v>391.66</v>
      </c>
      <c r="K30" s="34">
        <f>IFERROR('Data Sheet'!J48,0)</f>
        <v>373.29</v>
      </c>
      <c r="L30" s="34">
        <f>IFERROR('Data Sheet'!K48,0)</f>
        <v>415.17</v>
      </c>
      <c r="M30" s="50">
        <f>SUM('Data Sheet'!H48:K48)</f>
        <v>1501.5400000000002</v>
      </c>
    </row>
    <row r="31" spans="2:13" outlineLevel="1" x14ac:dyDescent="0.3">
      <c r="B31" s="35" t="s">
        <v>66</v>
      </c>
      <c r="C31" s="58">
        <f>C30/C27</f>
        <v>0.17436241387067469</v>
      </c>
      <c r="D31" s="58">
        <f t="shared" ref="D31:M31" si="11">D30/D27</f>
        <v>0.18790528066401183</v>
      </c>
      <c r="E31" s="58">
        <f t="shared" si="11"/>
        <v>0.12447583393705364</v>
      </c>
      <c r="F31" s="58">
        <f t="shared" si="11"/>
        <v>0.13746195170050746</v>
      </c>
      <c r="G31" s="58">
        <f t="shared" si="11"/>
        <v>8.0934692309099943E-2</v>
      </c>
      <c r="H31" s="58">
        <f t="shared" si="11"/>
        <v>9.8102046467138146E-2</v>
      </c>
      <c r="I31" s="58">
        <f t="shared" si="11"/>
        <v>8.2588184509126819E-2</v>
      </c>
      <c r="J31" s="58">
        <f t="shared" si="11"/>
        <v>7.4497324707981441E-2</v>
      </c>
      <c r="K31" s="58">
        <f t="shared" si="11"/>
        <v>5.7193330279263523E-2</v>
      </c>
      <c r="L31" s="58">
        <f t="shared" si="11"/>
        <v>8.7351799446647768E-2</v>
      </c>
      <c r="M31" s="58">
        <f t="shared" si="11"/>
        <v>0.30417466838450391</v>
      </c>
    </row>
    <row r="32" spans="2:13" outlineLevel="1" x14ac:dyDescent="0.3">
      <c r="B32" s="33"/>
      <c r="C32" s="34"/>
      <c r="D32" s="34"/>
      <c r="E32" s="34"/>
      <c r="F32" s="34"/>
      <c r="G32" s="41"/>
      <c r="H32" s="41"/>
      <c r="I32" s="41"/>
      <c r="J32" s="41"/>
      <c r="K32" s="41"/>
      <c r="L32" s="41"/>
      <c r="M32" s="12"/>
    </row>
    <row r="33" spans="1:13" outlineLevel="1" x14ac:dyDescent="0.3">
      <c r="B33" s="60" t="s">
        <v>67</v>
      </c>
      <c r="C33" s="59">
        <f>C27-C30</f>
        <v>1981.9100000000014</v>
      </c>
      <c r="D33" s="59">
        <f t="shared" ref="D33:M33" si="12">D27-D30</f>
        <v>2129.0200000000004</v>
      </c>
      <c r="E33" s="59">
        <f t="shared" si="12"/>
        <v>2453.2800000000011</v>
      </c>
      <c r="F33" s="59">
        <f t="shared" si="12"/>
        <v>2615.5000000000014</v>
      </c>
      <c r="G33" s="59">
        <f t="shared" si="12"/>
        <v>3013.5599999999977</v>
      </c>
      <c r="H33" s="59">
        <f t="shared" si="12"/>
        <v>3582.970000000003</v>
      </c>
      <c r="I33" s="59">
        <f t="shared" si="12"/>
        <v>3570.4199999999987</v>
      </c>
      <c r="J33" s="59">
        <f t="shared" si="12"/>
        <v>4865.7099999999955</v>
      </c>
      <c r="K33" s="59">
        <f t="shared" si="12"/>
        <v>6153.5200000000013</v>
      </c>
      <c r="L33" s="59">
        <f t="shared" si="12"/>
        <v>4337.6800000000021</v>
      </c>
      <c r="M33" s="59">
        <f t="shared" si="12"/>
        <v>3434.8999999999987</v>
      </c>
    </row>
    <row r="34" spans="1:13" outlineLevel="1" x14ac:dyDescent="0.3">
      <c r="B34" s="35" t="s">
        <v>68</v>
      </c>
      <c r="C34" s="37">
        <f>C33/C6</f>
        <v>0.1388719748253337</v>
      </c>
      <c r="D34" s="37">
        <f t="shared" ref="D34:M34" si="13">D33/D6</f>
        <v>0.14135051211692481</v>
      </c>
      <c r="E34" s="37">
        <f t="shared" si="13"/>
        <v>0.14581548986451354</v>
      </c>
      <c r="F34" s="37">
        <f t="shared" si="13"/>
        <v>0.13593982992838413</v>
      </c>
      <c r="G34" s="37">
        <f t="shared" si="13"/>
        <v>0.14910309852186271</v>
      </c>
      <c r="H34" s="37">
        <f t="shared" si="13"/>
        <v>0.16501656396989989</v>
      </c>
      <c r="I34" s="37">
        <f t="shared" si="13"/>
        <v>0.1226894487115343</v>
      </c>
      <c r="J34" s="37">
        <f t="shared" si="13"/>
        <v>0.14108173166835744</v>
      </c>
      <c r="K34" s="37">
        <f t="shared" si="13"/>
        <v>0.17336432760581644</v>
      </c>
      <c r="L34" s="37">
        <f t="shared" si="13"/>
        <v>0.12793395313225364</v>
      </c>
      <c r="M34" s="37">
        <f t="shared" si="13"/>
        <v>9.9000598055957831E-2</v>
      </c>
    </row>
    <row r="35" spans="1:13" outlineLevel="1" x14ac:dyDescent="0.3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12"/>
    </row>
    <row r="36" spans="1:13" outlineLevel="1" x14ac:dyDescent="0.3">
      <c r="B36" s="33" t="s">
        <v>40</v>
      </c>
      <c r="C36" s="104">
        <f>IFERROR('Data Sheet'!B93,0)</f>
        <v>95.92</v>
      </c>
      <c r="D36" s="104">
        <f>IFERROR('Data Sheet'!C93,0)</f>
        <v>95.92</v>
      </c>
      <c r="E36" s="104">
        <f>IFERROR('Data Sheet'!D93,0)</f>
        <v>95.92</v>
      </c>
      <c r="F36" s="104">
        <f>IFERROR('Data Sheet'!E93,0)</f>
        <v>95.92</v>
      </c>
      <c r="G36" s="104">
        <f>IFERROR('Data Sheet'!F93,0)</f>
        <v>95.92</v>
      </c>
      <c r="H36" s="104">
        <f>IFERROR('Data Sheet'!G93,0)</f>
        <v>95.92</v>
      </c>
      <c r="I36" s="104">
        <f>IFERROR('Data Sheet'!H93,0)</f>
        <v>95.92</v>
      </c>
      <c r="J36" s="104">
        <f>IFERROR('Data Sheet'!I93,0)</f>
        <v>95.92</v>
      </c>
      <c r="K36" s="104">
        <f>IFERROR('Data Sheet'!J93,0)</f>
        <v>95.92</v>
      </c>
      <c r="L36" s="104">
        <f>IFERROR('Data Sheet'!K93,0)</f>
        <v>95.92</v>
      </c>
      <c r="M36" s="12">
        <v>0</v>
      </c>
    </row>
    <row r="37" spans="1:13" outlineLevel="1" x14ac:dyDescent="0.3"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12"/>
    </row>
    <row r="38" spans="1:13" outlineLevel="1" x14ac:dyDescent="0.3">
      <c r="B38" s="33" t="s">
        <v>69</v>
      </c>
      <c r="C38" s="34">
        <f>C33/C36</f>
        <v>20.66211426188492</v>
      </c>
      <c r="D38" s="34">
        <f t="shared" ref="D38:L38" si="14">D33/D36</f>
        <v>22.195788156797335</v>
      </c>
      <c r="E38" s="34">
        <f t="shared" si="14"/>
        <v>25.576313594662231</v>
      </c>
      <c r="F38" s="34">
        <f t="shared" si="14"/>
        <v>27.267514595496262</v>
      </c>
      <c r="G38" s="34">
        <f t="shared" si="14"/>
        <v>31.417431192660526</v>
      </c>
      <c r="H38" s="34">
        <f t="shared" si="14"/>
        <v>37.353732276897446</v>
      </c>
      <c r="I38" s="34">
        <f t="shared" si="14"/>
        <v>37.222894078398653</v>
      </c>
      <c r="J38" s="34">
        <f t="shared" si="14"/>
        <v>50.726751459549575</v>
      </c>
      <c r="K38" s="34">
        <f t="shared" si="14"/>
        <v>64.152627189324448</v>
      </c>
      <c r="L38" s="34">
        <f t="shared" si="14"/>
        <v>45.221851542952479</v>
      </c>
      <c r="M38" s="12">
        <v>0</v>
      </c>
    </row>
    <row r="39" spans="1:13" outlineLevel="1" x14ac:dyDescent="0.3">
      <c r="B39" s="35" t="s">
        <v>92</v>
      </c>
      <c r="C39" s="57"/>
      <c r="D39" s="42">
        <f>D38/C38-1</f>
        <v>7.4226377585258074E-2</v>
      </c>
      <c r="E39" s="42">
        <f t="shared" ref="E39:M39" si="15">E38/D38-1</f>
        <v>0.15230481630045789</v>
      </c>
      <c r="F39" s="42">
        <f t="shared" si="15"/>
        <v>6.6123720080871307E-2</v>
      </c>
      <c r="G39" s="42">
        <f t="shared" si="15"/>
        <v>0.15219269738099639</v>
      </c>
      <c r="H39" s="42">
        <f t="shared" si="15"/>
        <v>0.18894928257609123</v>
      </c>
      <c r="I39" s="42">
        <f t="shared" si="15"/>
        <v>-3.5026807369317181E-3</v>
      </c>
      <c r="J39" s="42">
        <f t="shared" si="15"/>
        <v>0.36278365010278812</v>
      </c>
      <c r="K39" s="42">
        <f t="shared" si="15"/>
        <v>0.26467052084896281</v>
      </c>
      <c r="L39" s="42">
        <f t="shared" si="15"/>
        <v>-0.29508963975090663</v>
      </c>
      <c r="M39" s="42">
        <f t="shared" si="15"/>
        <v>-1</v>
      </c>
    </row>
    <row r="40" spans="1:13" outlineLevel="1" x14ac:dyDescent="0.3">
      <c r="B40" s="35"/>
      <c r="C40" s="57"/>
      <c r="D40" s="34"/>
      <c r="E40" s="43"/>
      <c r="F40" s="43"/>
      <c r="G40" s="43"/>
      <c r="H40" s="43"/>
      <c r="I40" s="43"/>
      <c r="J40" s="43"/>
      <c r="K40" s="43"/>
      <c r="L40" s="43"/>
      <c r="M40" s="12"/>
    </row>
    <row r="41" spans="1:13" outlineLevel="1" x14ac:dyDescent="0.3">
      <c r="B41" s="44" t="s">
        <v>71</v>
      </c>
      <c r="C41" s="50">
        <f>IFERROR('Data Sheet'!B31,0)</f>
        <v>719.4</v>
      </c>
      <c r="D41" s="50">
        <f>IFERROR('Data Sheet'!C31,0)</f>
        <v>987.98</v>
      </c>
      <c r="E41" s="50">
        <f>IFERROR('Data Sheet'!D31,0)</f>
        <v>834.5</v>
      </c>
      <c r="F41" s="50">
        <f>IFERROR('Data Sheet'!E31,0)</f>
        <v>1007.16</v>
      </c>
      <c r="G41" s="50">
        <f>IFERROR('Data Sheet'!F31,0)</f>
        <v>1151.04</v>
      </c>
      <c r="H41" s="50">
        <f>IFERROR('Data Sheet'!G31,0)</f>
        <v>1712.17</v>
      </c>
      <c r="I41" s="50">
        <f>IFERROR('Data Sheet'!H31,0)</f>
        <v>1836.87</v>
      </c>
      <c r="J41" s="50">
        <f>IFERROR('Data Sheet'!I31,0)</f>
        <v>2460.35</v>
      </c>
      <c r="K41" s="50">
        <f>IFERROR('Data Sheet'!J31,0)</f>
        <v>3194.14</v>
      </c>
      <c r="L41" s="50">
        <f>IFERROR('Data Sheet'!K31,0)</f>
        <v>2378.8200000000002</v>
      </c>
      <c r="M41" s="12">
        <v>0</v>
      </c>
    </row>
    <row r="42" spans="1:13" outlineLevel="1" x14ac:dyDescent="0.3">
      <c r="B42" s="35" t="s">
        <v>93</v>
      </c>
      <c r="C42" s="37">
        <f>C41/C38</f>
        <v>34.81734690273521</v>
      </c>
      <c r="D42" s="37">
        <f t="shared" ref="D42:L42" si="16">D41/D38</f>
        <v>44.512048548158305</v>
      </c>
      <c r="E42" s="37">
        <f t="shared" si="16"/>
        <v>32.627845170547168</v>
      </c>
      <c r="F42" s="37">
        <f t="shared" si="16"/>
        <v>36.936259682661039</v>
      </c>
      <c r="G42" s="37">
        <f t="shared" si="16"/>
        <v>36.636986421375411</v>
      </c>
      <c r="H42" s="37">
        <f t="shared" si="16"/>
        <v>45.836651269756615</v>
      </c>
      <c r="I42" s="37">
        <f t="shared" si="16"/>
        <v>49.347855546406322</v>
      </c>
      <c r="J42" s="37">
        <f t="shared" si="16"/>
        <v>48.502021698786038</v>
      </c>
      <c r="K42" s="37">
        <f t="shared" si="16"/>
        <v>49.789699034048795</v>
      </c>
      <c r="L42" s="37">
        <f t="shared" si="16"/>
        <v>52.603330443923923</v>
      </c>
      <c r="M42" s="42">
        <v>0</v>
      </c>
    </row>
    <row r="43" spans="1:13" outlineLevel="1" x14ac:dyDescent="0.3">
      <c r="B43" s="33"/>
      <c r="C43" s="34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outlineLevel="1" x14ac:dyDescent="0.3">
      <c r="B44" s="33" t="s">
        <v>70</v>
      </c>
      <c r="C44" s="42">
        <f>IFERROR(IF(C38&gt;C41,1-C42,0),0)</f>
        <v>0</v>
      </c>
      <c r="D44" s="42">
        <f t="shared" ref="D44:M44" si="17">IFERROR(IF(D38&gt;D41,1-D42,0),0)</f>
        <v>0</v>
      </c>
      <c r="E44" s="42">
        <f t="shared" si="17"/>
        <v>0</v>
      </c>
      <c r="F44" s="42">
        <f t="shared" si="17"/>
        <v>0</v>
      </c>
      <c r="G44" s="42">
        <f t="shared" si="17"/>
        <v>0</v>
      </c>
      <c r="H44" s="42">
        <f t="shared" si="17"/>
        <v>0</v>
      </c>
      <c r="I44" s="42">
        <f t="shared" si="17"/>
        <v>0</v>
      </c>
      <c r="J44" s="42">
        <f t="shared" si="17"/>
        <v>0</v>
      </c>
      <c r="K44" s="42">
        <f t="shared" si="17"/>
        <v>0</v>
      </c>
      <c r="L44" s="42">
        <f t="shared" si="17"/>
        <v>0</v>
      </c>
      <c r="M44" s="42">
        <f t="shared" si="17"/>
        <v>0</v>
      </c>
    </row>
    <row r="45" spans="1:13" x14ac:dyDescent="0.3"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12"/>
    </row>
    <row r="46" spans="1:13" x14ac:dyDescent="0.3">
      <c r="A46" s="2" t="s">
        <v>58</v>
      </c>
      <c r="B46" s="61" t="s">
        <v>72</v>
      </c>
      <c r="C46" s="105"/>
      <c r="D46" s="62"/>
      <c r="E46" s="62"/>
      <c r="F46" s="62"/>
      <c r="G46" s="62"/>
      <c r="H46" s="62"/>
      <c r="I46" s="62"/>
      <c r="J46" s="62"/>
      <c r="K46" s="62"/>
      <c r="L46" s="62"/>
      <c r="M46" s="106"/>
    </row>
    <row r="47" spans="1:13" outlineLevel="1" x14ac:dyDescent="0.3">
      <c r="B47" s="63" t="s">
        <v>24</v>
      </c>
      <c r="C47" s="64">
        <v>42460</v>
      </c>
      <c r="D47" s="64">
        <v>42825</v>
      </c>
      <c r="E47" s="64">
        <v>43190</v>
      </c>
      <c r="F47" s="64">
        <v>43555</v>
      </c>
      <c r="G47" s="64">
        <v>43921</v>
      </c>
      <c r="H47" s="64">
        <v>44286</v>
      </c>
      <c r="I47" s="64">
        <v>44651</v>
      </c>
      <c r="J47" s="64">
        <v>45016</v>
      </c>
      <c r="K47" s="64">
        <v>45382</v>
      </c>
      <c r="L47" s="64">
        <v>45747</v>
      </c>
      <c r="M47" s="12"/>
    </row>
    <row r="48" spans="1:13" outlineLevel="1" x14ac:dyDescent="0.3">
      <c r="B48" s="33" t="s">
        <v>11</v>
      </c>
      <c r="C48" s="34">
        <f>IFERROR('Data Sheet'!B57,0)</f>
        <v>95.92</v>
      </c>
      <c r="D48" s="34">
        <f>IFERROR('Data Sheet'!C57,0)</f>
        <v>95.92</v>
      </c>
      <c r="E48" s="34">
        <f>IFERROR('Data Sheet'!D57,0)</f>
        <v>95.92</v>
      </c>
      <c r="F48" s="34">
        <f>IFERROR('Data Sheet'!E57,0)</f>
        <v>95.92</v>
      </c>
      <c r="G48" s="34">
        <f>IFERROR('Data Sheet'!F57,0)</f>
        <v>95.92</v>
      </c>
      <c r="H48" s="34">
        <f>IFERROR('Data Sheet'!G57,0)</f>
        <v>95.92</v>
      </c>
      <c r="I48" s="34">
        <f>IFERROR('Data Sheet'!H57,0)</f>
        <v>95.92</v>
      </c>
      <c r="J48" s="34">
        <f>IFERROR('Data Sheet'!I57,0)</f>
        <v>95.92</v>
      </c>
      <c r="K48" s="34">
        <f>IFERROR('Data Sheet'!J57,0)</f>
        <v>95.92</v>
      </c>
      <c r="L48" s="34">
        <f>IFERROR('Data Sheet'!K57,0)</f>
        <v>95.92</v>
      </c>
      <c r="M48" s="12"/>
    </row>
    <row r="49" spans="2:13" outlineLevel="1" x14ac:dyDescent="0.3">
      <c r="B49" s="33" t="s">
        <v>12</v>
      </c>
      <c r="C49" s="34">
        <f>IFERROR('Data Sheet'!B58,0)</f>
        <v>6428.9</v>
      </c>
      <c r="D49" s="34">
        <f>IFERROR('Data Sheet'!C58,0)</f>
        <v>7507.97</v>
      </c>
      <c r="E49" s="34">
        <f>IFERROR('Data Sheet'!D58,0)</f>
        <v>8314.31</v>
      </c>
      <c r="F49" s="34">
        <f>IFERROR('Data Sheet'!E58,0)</f>
        <v>9374.6299999999992</v>
      </c>
      <c r="G49" s="34">
        <f>IFERROR('Data Sheet'!F58,0)</f>
        <v>10034.24</v>
      </c>
      <c r="H49" s="34">
        <f>IFERROR('Data Sheet'!G58,0)</f>
        <v>12710.37</v>
      </c>
      <c r="I49" s="34">
        <f>IFERROR('Data Sheet'!H58,0)</f>
        <v>13715.64</v>
      </c>
      <c r="J49" s="34">
        <f>IFERROR('Data Sheet'!I58,0)</f>
        <v>15896.31</v>
      </c>
      <c r="K49" s="34">
        <f>IFERROR('Data Sheet'!J58,0)</f>
        <v>18632.38</v>
      </c>
      <c r="L49" s="34">
        <f>IFERROR('Data Sheet'!K58,0)</f>
        <v>19303.89</v>
      </c>
      <c r="M49" s="12"/>
    </row>
    <row r="50" spans="2:13" outlineLevel="1" x14ac:dyDescent="0.3">
      <c r="B50" s="33" t="s">
        <v>37</v>
      </c>
      <c r="C50" s="34">
        <f>IFERROR('Data Sheet'!B59,0)</f>
        <v>323.29000000000002</v>
      </c>
      <c r="D50" s="34">
        <f>IFERROR('Data Sheet'!C59,0)</f>
        <v>560.34</v>
      </c>
      <c r="E50" s="34">
        <f>IFERROR('Data Sheet'!D59,0)</f>
        <v>533.42999999999995</v>
      </c>
      <c r="F50" s="34">
        <f>IFERROR('Data Sheet'!E59,0)</f>
        <v>1319.6</v>
      </c>
      <c r="G50" s="34">
        <f>IFERROR('Data Sheet'!F59,0)</f>
        <v>1118.5</v>
      </c>
      <c r="H50" s="34">
        <f>IFERROR('Data Sheet'!G59,0)</f>
        <v>1093.1199999999999</v>
      </c>
      <c r="I50" s="34">
        <f>IFERROR('Data Sheet'!H59,0)</f>
        <v>1586.88</v>
      </c>
      <c r="J50" s="34">
        <f>IFERROR('Data Sheet'!I59,0)</f>
        <v>1932.62</v>
      </c>
      <c r="K50" s="34">
        <f>IFERROR('Data Sheet'!J59,0)</f>
        <v>2474.38</v>
      </c>
      <c r="L50" s="34">
        <f>IFERROR('Data Sheet'!K59,0)</f>
        <v>2290.29</v>
      </c>
      <c r="M50" s="12"/>
    </row>
    <row r="51" spans="2:13" outlineLevel="1" x14ac:dyDescent="0.3">
      <c r="B51" s="33" t="s">
        <v>38</v>
      </c>
      <c r="C51" s="34">
        <f>IFERROR('Data Sheet'!B60,0)</f>
        <v>3710.92</v>
      </c>
      <c r="D51" s="34">
        <f>IFERROR('Data Sheet'!C60,0)</f>
        <v>4240.96</v>
      </c>
      <c r="E51" s="34">
        <f>IFERROR('Data Sheet'!D60,0)</f>
        <v>4819.82</v>
      </c>
      <c r="F51" s="34">
        <f>IFERROR('Data Sheet'!E60,0)</f>
        <v>5458.69</v>
      </c>
      <c r="G51" s="34">
        <f>IFERROR('Data Sheet'!F60,0)</f>
        <v>4889.3100000000004</v>
      </c>
      <c r="H51" s="34">
        <f>IFERROR('Data Sheet'!G60,0)</f>
        <v>6455.93</v>
      </c>
      <c r="I51" s="34">
        <f>IFERROR('Data Sheet'!H60,0)</f>
        <v>7559.99</v>
      </c>
      <c r="J51" s="34">
        <f>IFERROR('Data Sheet'!I60,0)</f>
        <v>7854.48</v>
      </c>
      <c r="K51" s="34">
        <f>IFERROR('Data Sheet'!J60,0)</f>
        <v>8698.09</v>
      </c>
      <c r="L51" s="34">
        <f>IFERROR('Data Sheet'!K60,0)</f>
        <v>8665.15</v>
      </c>
      <c r="M51" s="12"/>
    </row>
    <row r="52" spans="2:13" outlineLevel="1" x14ac:dyDescent="0.3">
      <c r="B52" s="60" t="s">
        <v>73</v>
      </c>
      <c r="C52" s="59">
        <f t="shared" ref="C52:L52" si="18">SUM(C48:C51)</f>
        <v>10559.029999999999</v>
      </c>
      <c r="D52" s="59">
        <f t="shared" si="18"/>
        <v>12405.19</v>
      </c>
      <c r="E52" s="59">
        <f t="shared" si="18"/>
        <v>13763.48</v>
      </c>
      <c r="F52" s="59">
        <f t="shared" si="18"/>
        <v>16248.84</v>
      </c>
      <c r="G52" s="59">
        <f t="shared" si="18"/>
        <v>16137.970000000001</v>
      </c>
      <c r="H52" s="59">
        <f t="shared" si="18"/>
        <v>20355.34</v>
      </c>
      <c r="I52" s="59">
        <f t="shared" si="18"/>
        <v>22958.43</v>
      </c>
      <c r="J52" s="59">
        <f t="shared" si="18"/>
        <v>25779.329999999998</v>
      </c>
      <c r="K52" s="59">
        <f t="shared" si="18"/>
        <v>29900.77</v>
      </c>
      <c r="L52" s="59">
        <f t="shared" si="18"/>
        <v>30355.25</v>
      </c>
      <c r="M52" s="12"/>
    </row>
    <row r="53" spans="2:13" outlineLevel="1" x14ac:dyDescent="0.3"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12"/>
    </row>
    <row r="54" spans="2:13" outlineLevel="1" x14ac:dyDescent="0.3">
      <c r="B54" s="33" t="s">
        <v>116</v>
      </c>
      <c r="C54" s="34">
        <f>IFERROR('Data Sheet'!B62,0)</f>
        <v>3416.35</v>
      </c>
      <c r="D54" s="34">
        <f>IFERROR('Data Sheet'!C62,0)</f>
        <v>3303.74</v>
      </c>
      <c r="E54" s="34">
        <f>IFERROR('Data Sheet'!D62,0)</f>
        <v>3732.24</v>
      </c>
      <c r="F54" s="34">
        <f>IFERROR('Data Sheet'!E62,0)</f>
        <v>6496.56</v>
      </c>
      <c r="G54" s="34">
        <f>IFERROR('Data Sheet'!F62,0)</f>
        <v>6272.31</v>
      </c>
      <c r="H54" s="34">
        <f>IFERROR('Data Sheet'!G62,0)</f>
        <v>5858.52</v>
      </c>
      <c r="I54" s="34">
        <f>IFERROR('Data Sheet'!H62,0)</f>
        <v>5519.06</v>
      </c>
      <c r="J54" s="34">
        <f>IFERROR('Data Sheet'!I62,0)</f>
        <v>5770.46</v>
      </c>
      <c r="K54" s="34">
        <f>IFERROR('Data Sheet'!J62,0)</f>
        <v>7146.62</v>
      </c>
      <c r="L54" s="34">
        <f>IFERROR('Data Sheet'!K62,0)</f>
        <v>9220.1</v>
      </c>
      <c r="M54" s="12"/>
    </row>
    <row r="55" spans="2:13" outlineLevel="1" x14ac:dyDescent="0.3">
      <c r="B55" s="33" t="s">
        <v>15</v>
      </c>
      <c r="C55" s="34">
        <f>IFERROR('Data Sheet'!B63,0)</f>
        <v>106.59</v>
      </c>
      <c r="D55" s="34">
        <f>IFERROR('Data Sheet'!C63,0)</f>
        <v>257.54000000000002</v>
      </c>
      <c r="E55" s="34">
        <f>IFERROR('Data Sheet'!D63,0)</f>
        <v>1405.11</v>
      </c>
      <c r="F55" s="34">
        <f>IFERROR('Data Sheet'!E63,0)</f>
        <v>209.67</v>
      </c>
      <c r="G55" s="34">
        <f>IFERROR('Data Sheet'!F63,0)</f>
        <v>140.24</v>
      </c>
      <c r="H55" s="34">
        <f>IFERROR('Data Sheet'!G63,0)</f>
        <v>182.98</v>
      </c>
      <c r="I55" s="34">
        <f>IFERROR('Data Sheet'!H63,0)</f>
        <v>426.43</v>
      </c>
      <c r="J55" s="34">
        <f>IFERROR('Data Sheet'!I63,0)</f>
        <v>1019.59</v>
      </c>
      <c r="K55" s="34">
        <f>IFERROR('Data Sheet'!J63,0)</f>
        <v>2698.37</v>
      </c>
      <c r="L55" s="34">
        <f>IFERROR('Data Sheet'!K63,0)</f>
        <v>1254.49</v>
      </c>
      <c r="M55" s="12"/>
    </row>
    <row r="56" spans="2:13" outlineLevel="1" x14ac:dyDescent="0.3">
      <c r="B56" s="33" t="s">
        <v>16</v>
      </c>
      <c r="C56" s="34">
        <f>IFERROR('Data Sheet'!B64,0)</f>
        <v>2712.13</v>
      </c>
      <c r="D56" s="34">
        <f>IFERROR('Data Sheet'!C64,0)</f>
        <v>2651.99</v>
      </c>
      <c r="E56" s="34">
        <f>IFERROR('Data Sheet'!D64,0)</f>
        <v>2140.6999999999998</v>
      </c>
      <c r="F56" s="34">
        <f>IFERROR('Data Sheet'!E64,0)</f>
        <v>2568.58</v>
      </c>
      <c r="G56" s="34">
        <f>IFERROR('Data Sheet'!F64,0)</f>
        <v>2018.85</v>
      </c>
      <c r="H56" s="34">
        <f>IFERROR('Data Sheet'!G64,0)</f>
        <v>4736.8</v>
      </c>
      <c r="I56" s="34">
        <f>IFERROR('Data Sheet'!H64,0)</f>
        <v>3247.53</v>
      </c>
      <c r="J56" s="34">
        <f>IFERROR('Data Sheet'!I64,0)</f>
        <v>4261.71</v>
      </c>
      <c r="K56" s="34">
        <f>IFERROR('Data Sheet'!J64,0)</f>
        <v>4587.92</v>
      </c>
      <c r="L56" s="34">
        <f>IFERROR('Data Sheet'!K64,0)</f>
        <v>4724.75</v>
      </c>
      <c r="M56" s="12"/>
    </row>
    <row r="57" spans="2:13" outlineLevel="1" x14ac:dyDescent="0.3">
      <c r="B57" s="33" t="s">
        <v>39</v>
      </c>
      <c r="C57" s="34">
        <f>IFERROR('Data Sheet'!B65-SUM('Data Sheet'!B67:B69),0)</f>
        <v>714.68000000000029</v>
      </c>
      <c r="D57" s="34">
        <f>IFERROR('Data Sheet'!C65-SUM('Data Sheet'!C67:C69),0)</f>
        <v>1317.17</v>
      </c>
      <c r="E57" s="34">
        <f>IFERROR('Data Sheet'!D65-SUM('Data Sheet'!D67:D69),0)</f>
        <v>1691.8400000000001</v>
      </c>
      <c r="F57" s="34">
        <f>IFERROR('Data Sheet'!E65-SUM('Data Sheet'!E67:E69),0)</f>
        <v>1471.9599999999991</v>
      </c>
      <c r="G57" s="34">
        <f>IFERROR('Data Sheet'!F65-SUM('Data Sheet'!F67:F69),0)</f>
        <v>1738.71</v>
      </c>
      <c r="H57" s="34">
        <f>IFERROR('Data Sheet'!G65-SUM('Data Sheet'!G67:G69),0)</f>
        <v>2565.5200000000004</v>
      </c>
      <c r="I57" s="34">
        <f>IFERROR('Data Sheet'!H65-SUM('Data Sheet'!H67:H69),0)</f>
        <v>2876.66</v>
      </c>
      <c r="J57" s="34">
        <f>IFERROR('Data Sheet'!I65-SUM('Data Sheet'!I67:I69),0)</f>
        <v>3036.17</v>
      </c>
      <c r="K57" s="34">
        <f>IFERROR('Data Sheet'!J65-SUM('Data Sheet'!J67:J69),0)</f>
        <v>3571.3900000000012</v>
      </c>
      <c r="L57" s="34">
        <f>IFERROR('Data Sheet'!K65-SUM('Data Sheet'!K67:K69),0)</f>
        <v>3341.01</v>
      </c>
      <c r="M57" s="12"/>
    </row>
    <row r="58" spans="2:13" outlineLevel="1" x14ac:dyDescent="0.3">
      <c r="B58" s="60" t="s">
        <v>117</v>
      </c>
      <c r="C58" s="59">
        <f>SUM(C54:C57)</f>
        <v>6949.75</v>
      </c>
      <c r="D58" s="59">
        <f t="shared" ref="D58:L58" si="19">SUM(D54:D57)</f>
        <v>7530.44</v>
      </c>
      <c r="E58" s="59">
        <f t="shared" si="19"/>
        <v>8969.89</v>
      </c>
      <c r="F58" s="59">
        <f t="shared" si="19"/>
        <v>10746.77</v>
      </c>
      <c r="G58" s="59">
        <f t="shared" si="19"/>
        <v>10170.11</v>
      </c>
      <c r="H58" s="59">
        <f t="shared" si="19"/>
        <v>13343.82</v>
      </c>
      <c r="I58" s="59">
        <f t="shared" si="19"/>
        <v>12069.68</v>
      </c>
      <c r="J58" s="59">
        <f t="shared" si="19"/>
        <v>14087.93</v>
      </c>
      <c r="K58" s="59">
        <f t="shared" si="19"/>
        <v>18004.300000000003</v>
      </c>
      <c r="L58" s="59">
        <f t="shared" si="19"/>
        <v>18540.349999999999</v>
      </c>
      <c r="M58" s="12"/>
    </row>
    <row r="59" spans="2:13" outlineLevel="1" x14ac:dyDescent="0.3">
      <c r="B59" s="38"/>
      <c r="C59" s="39"/>
      <c r="D59" s="34"/>
      <c r="E59" s="34"/>
      <c r="F59" s="34"/>
      <c r="G59" s="34"/>
      <c r="H59" s="34"/>
      <c r="I59" s="34"/>
      <c r="J59" s="34"/>
      <c r="K59" s="34"/>
      <c r="L59" s="34"/>
      <c r="M59" s="12"/>
    </row>
    <row r="60" spans="2:13" outlineLevel="1" x14ac:dyDescent="0.3">
      <c r="B60" s="33" t="s">
        <v>44</v>
      </c>
      <c r="C60" s="34">
        <f>IFERROR('Data Sheet'!B67,0)</f>
        <v>1186.8399999999999</v>
      </c>
      <c r="D60" s="34">
        <f>IFERROR('Data Sheet'!C67,0)</f>
        <v>1446.6</v>
      </c>
      <c r="E60" s="34">
        <f>IFERROR('Data Sheet'!D67,0)</f>
        <v>1730.63</v>
      </c>
      <c r="F60" s="34">
        <f>IFERROR('Data Sheet'!E67,0)</f>
        <v>1907.33</v>
      </c>
      <c r="G60" s="34">
        <f>IFERROR('Data Sheet'!F67,0)</f>
        <v>1795.22</v>
      </c>
      <c r="H60" s="34">
        <f>IFERROR('Data Sheet'!G67,0)</f>
        <v>2602.17</v>
      </c>
      <c r="I60" s="34">
        <f>IFERROR('Data Sheet'!H67,0)</f>
        <v>3871.44</v>
      </c>
      <c r="J60" s="34">
        <f>IFERROR('Data Sheet'!I67,0)</f>
        <v>4636.9399999999996</v>
      </c>
      <c r="K60" s="34">
        <f>IFERROR('Data Sheet'!J67,0)</f>
        <v>4889.05</v>
      </c>
      <c r="L60" s="34">
        <f>IFERROR('Data Sheet'!K67,0)</f>
        <v>4313.6499999999996</v>
      </c>
      <c r="M60" s="12"/>
    </row>
    <row r="61" spans="2:13" outlineLevel="1" x14ac:dyDescent="0.3">
      <c r="B61" s="33" t="s">
        <v>30</v>
      </c>
      <c r="C61" s="34">
        <f>IFERROR('Data Sheet'!B68,0)</f>
        <v>1998.24</v>
      </c>
      <c r="D61" s="34">
        <f>IFERROR('Data Sheet'!C68,0)</f>
        <v>2626.94</v>
      </c>
      <c r="E61" s="34">
        <f>IFERROR('Data Sheet'!D68,0)</f>
        <v>2658.31</v>
      </c>
      <c r="F61" s="34">
        <f>IFERROR('Data Sheet'!E68,0)</f>
        <v>3149.86</v>
      </c>
      <c r="G61" s="34">
        <f>IFERROR('Data Sheet'!F68,0)</f>
        <v>3389.81</v>
      </c>
      <c r="H61" s="34">
        <f>IFERROR('Data Sheet'!G68,0)</f>
        <v>3798.6</v>
      </c>
      <c r="I61" s="34">
        <f>IFERROR('Data Sheet'!H68,0)</f>
        <v>6152.98</v>
      </c>
      <c r="J61" s="34">
        <f>IFERROR('Data Sheet'!I68,0)</f>
        <v>6210.64</v>
      </c>
      <c r="K61" s="34">
        <f>IFERROR('Data Sheet'!J68,0)</f>
        <v>5923.41</v>
      </c>
      <c r="L61" s="34">
        <f>IFERROR('Data Sheet'!K68,0)</f>
        <v>6719.27</v>
      </c>
      <c r="M61" s="12"/>
    </row>
    <row r="62" spans="2:13" outlineLevel="1" x14ac:dyDescent="0.3">
      <c r="B62" s="33" t="s">
        <v>53</v>
      </c>
      <c r="C62" s="34">
        <f>IFERROR('Data Sheet'!B69,0)</f>
        <v>424.2</v>
      </c>
      <c r="D62" s="34">
        <f>IFERROR('Data Sheet'!C69,0)</f>
        <v>801.21</v>
      </c>
      <c r="E62" s="34">
        <f>IFERROR('Data Sheet'!D69,0)</f>
        <v>404.65</v>
      </c>
      <c r="F62" s="34">
        <f>IFERROR('Data Sheet'!E69,0)</f>
        <v>444.88</v>
      </c>
      <c r="G62" s="34">
        <f>IFERROR('Data Sheet'!F69,0)</f>
        <v>782.83</v>
      </c>
      <c r="H62" s="34">
        <f>IFERROR('Data Sheet'!G69,0)</f>
        <v>610.75</v>
      </c>
      <c r="I62" s="34">
        <f>IFERROR('Data Sheet'!H69,0)</f>
        <v>864.33</v>
      </c>
      <c r="J62" s="34">
        <f>IFERROR('Data Sheet'!I69,0)</f>
        <v>843.82</v>
      </c>
      <c r="K62" s="34">
        <f>IFERROR('Data Sheet'!J69,0)</f>
        <v>1084.01</v>
      </c>
      <c r="L62" s="34">
        <f>IFERROR('Data Sheet'!K69,0)</f>
        <v>781.98</v>
      </c>
      <c r="M62" s="12"/>
    </row>
    <row r="63" spans="2:13" outlineLevel="1" x14ac:dyDescent="0.3">
      <c r="B63" s="60" t="s">
        <v>74</v>
      </c>
      <c r="C63" s="59">
        <f>SUM(C60:C62)</f>
        <v>3609.2799999999997</v>
      </c>
      <c r="D63" s="59">
        <f t="shared" ref="D63:L63" si="20">SUM(D60:D62)</f>
        <v>4874.75</v>
      </c>
      <c r="E63" s="59">
        <f t="shared" si="20"/>
        <v>4793.59</v>
      </c>
      <c r="F63" s="59">
        <f t="shared" si="20"/>
        <v>5502.0700000000006</v>
      </c>
      <c r="G63" s="59">
        <f t="shared" si="20"/>
        <v>5967.86</v>
      </c>
      <c r="H63" s="59">
        <f t="shared" si="20"/>
        <v>7011.52</v>
      </c>
      <c r="I63" s="59">
        <f t="shared" si="20"/>
        <v>10888.75</v>
      </c>
      <c r="J63" s="59">
        <f t="shared" si="20"/>
        <v>11691.4</v>
      </c>
      <c r="K63" s="59">
        <f t="shared" si="20"/>
        <v>11896.47</v>
      </c>
      <c r="L63" s="59">
        <f t="shared" si="20"/>
        <v>11814.9</v>
      </c>
      <c r="M63" s="12"/>
    </row>
    <row r="64" spans="2:13" outlineLevel="1" x14ac:dyDescent="0.3">
      <c r="B64" s="33"/>
      <c r="C64" s="34"/>
      <c r="D64" s="34"/>
      <c r="E64" s="39"/>
      <c r="F64" s="39"/>
      <c r="G64" s="39"/>
      <c r="H64" s="39"/>
      <c r="I64" s="39"/>
      <c r="J64" s="39"/>
      <c r="K64" s="39"/>
      <c r="L64" s="34"/>
      <c r="M64" s="12"/>
    </row>
    <row r="65" spans="1:14" outlineLevel="1" x14ac:dyDescent="0.3">
      <c r="B65" s="60" t="s">
        <v>75</v>
      </c>
      <c r="C65" s="59">
        <f>SUM(C63,C58)</f>
        <v>10559.029999999999</v>
      </c>
      <c r="D65" s="59">
        <f t="shared" ref="D65:L65" si="21">SUM(D63,D58)</f>
        <v>12405.189999999999</v>
      </c>
      <c r="E65" s="59">
        <f t="shared" si="21"/>
        <v>13763.48</v>
      </c>
      <c r="F65" s="59">
        <f t="shared" si="21"/>
        <v>16248.84</v>
      </c>
      <c r="G65" s="59">
        <f t="shared" si="21"/>
        <v>16137.970000000001</v>
      </c>
      <c r="H65" s="59">
        <f t="shared" si="21"/>
        <v>20355.34</v>
      </c>
      <c r="I65" s="59">
        <f t="shared" si="21"/>
        <v>22958.43</v>
      </c>
      <c r="J65" s="59">
        <f t="shared" si="21"/>
        <v>25779.33</v>
      </c>
      <c r="K65" s="59">
        <f t="shared" si="21"/>
        <v>29900.770000000004</v>
      </c>
      <c r="L65" s="59">
        <f t="shared" si="21"/>
        <v>30355.25</v>
      </c>
      <c r="M65" s="12"/>
    </row>
    <row r="66" spans="1:14" outlineLevel="1" x14ac:dyDescent="0.3">
      <c r="B66" s="45"/>
      <c r="C66" s="107"/>
      <c r="D66" s="34"/>
      <c r="E66" s="34"/>
      <c r="F66" s="34"/>
      <c r="G66" s="34"/>
      <c r="H66" s="34"/>
      <c r="I66" s="34"/>
      <c r="J66" s="34"/>
      <c r="K66" s="34"/>
      <c r="L66" s="34"/>
      <c r="M66" s="12"/>
    </row>
    <row r="67" spans="1:14" outlineLevel="1" x14ac:dyDescent="0.3">
      <c r="B67" s="65" t="s">
        <v>76</v>
      </c>
      <c r="C67" s="12" t="b">
        <f>C65=C52</f>
        <v>1</v>
      </c>
      <c r="D67" s="12" t="b">
        <f t="shared" ref="D67:L67" si="22">D65=D52</f>
        <v>1</v>
      </c>
      <c r="E67" s="12" t="b">
        <f t="shared" si="22"/>
        <v>1</v>
      </c>
      <c r="F67" s="12" t="b">
        <f t="shared" si="22"/>
        <v>1</v>
      </c>
      <c r="G67" s="12" t="b">
        <f t="shared" si="22"/>
        <v>1</v>
      </c>
      <c r="H67" s="12" t="b">
        <f t="shared" si="22"/>
        <v>1</v>
      </c>
      <c r="I67" s="12" t="b">
        <f t="shared" si="22"/>
        <v>1</v>
      </c>
      <c r="J67" s="12" t="b">
        <f t="shared" si="22"/>
        <v>1</v>
      </c>
      <c r="K67" s="12" t="b">
        <f t="shared" si="22"/>
        <v>1</v>
      </c>
      <c r="L67" s="12" t="b">
        <f t="shared" si="22"/>
        <v>1</v>
      </c>
      <c r="M67" s="12"/>
    </row>
    <row r="68" spans="1:14" x14ac:dyDescent="0.3">
      <c r="C68" s="12"/>
      <c r="M68" s="12"/>
    </row>
    <row r="69" spans="1:14" x14ac:dyDescent="0.3">
      <c r="A69" s="2" t="s">
        <v>58</v>
      </c>
      <c r="B69" s="61" t="s">
        <v>121</v>
      </c>
      <c r="C69" s="105"/>
      <c r="D69" s="62"/>
      <c r="E69" s="62"/>
      <c r="F69" s="62"/>
      <c r="G69" s="62"/>
      <c r="H69" s="62"/>
      <c r="I69" s="62"/>
      <c r="J69" s="62"/>
      <c r="K69" s="62"/>
      <c r="L69" s="62"/>
      <c r="M69" s="108"/>
    </row>
    <row r="70" spans="1:14" outlineLevel="1" x14ac:dyDescent="0.3">
      <c r="A70" s="2"/>
      <c r="B70" s="63" t="s">
        <v>24</v>
      </c>
      <c r="C70" s="64">
        <v>42460</v>
      </c>
      <c r="D70" s="64">
        <v>42825</v>
      </c>
      <c r="E70" s="64">
        <v>43190</v>
      </c>
      <c r="F70" s="64">
        <v>43555</v>
      </c>
      <c r="G70" s="64">
        <v>43921</v>
      </c>
      <c r="H70" s="64">
        <v>44286</v>
      </c>
      <c r="I70" s="64">
        <v>44651</v>
      </c>
      <c r="J70" s="64">
        <v>45016</v>
      </c>
      <c r="K70" s="64">
        <v>45382</v>
      </c>
      <c r="L70" s="64">
        <v>45747</v>
      </c>
      <c r="M70" s="12"/>
      <c r="N70" s="12"/>
    </row>
    <row r="71" spans="1:14" outlineLevel="1" x14ac:dyDescent="0.3">
      <c r="B71" s="33" t="s">
        <v>118</v>
      </c>
      <c r="C71" s="34">
        <f>IFERROR('Data Sheet'!B82,0)</f>
        <v>2242.9499999999998</v>
      </c>
      <c r="D71" s="34">
        <f>IFERROR('Data Sheet'!C82,0)</f>
        <v>1527.33</v>
      </c>
      <c r="E71" s="34">
        <f>IFERROR('Data Sheet'!D82,0)</f>
        <v>2113.44</v>
      </c>
      <c r="F71" s="34">
        <f>IFERROR('Data Sheet'!E82,0)</f>
        <v>2469.54</v>
      </c>
      <c r="G71" s="34">
        <f>IFERROR('Data Sheet'!F82,0)</f>
        <v>3038.15</v>
      </c>
      <c r="H71" s="34">
        <f>IFERROR('Data Sheet'!G82,0)</f>
        <v>3683.35</v>
      </c>
      <c r="I71" s="34">
        <f>IFERROR('Data Sheet'!H82,0)</f>
        <v>986.49</v>
      </c>
      <c r="J71" s="34">
        <f>IFERROR('Data Sheet'!I82,0)</f>
        <v>4193.43</v>
      </c>
      <c r="K71" s="34">
        <f>IFERROR('Data Sheet'!J82,0)</f>
        <v>6103.6</v>
      </c>
      <c r="L71" s="34">
        <f>IFERROR('Data Sheet'!K82,0)</f>
        <v>4423.96</v>
      </c>
      <c r="M71" s="34"/>
      <c r="N71" s="12"/>
    </row>
    <row r="72" spans="1:14" outlineLevel="1" x14ac:dyDescent="0.3">
      <c r="B72" s="33" t="s">
        <v>119</v>
      </c>
      <c r="C72" s="34">
        <f>IFERROR('Data Sheet'!B83,0)</f>
        <v>-866.21</v>
      </c>
      <c r="D72" s="34">
        <f>IFERROR('Data Sheet'!C83,0)</f>
        <v>-681.11</v>
      </c>
      <c r="E72" s="34">
        <f>IFERROR('Data Sheet'!D83,0)</f>
        <v>-1556.14</v>
      </c>
      <c r="F72" s="34">
        <f>IFERROR('Data Sheet'!E83,0)</f>
        <v>-917.79</v>
      </c>
      <c r="G72" s="34">
        <f>IFERROR('Data Sheet'!F83,0)</f>
        <v>-517.91</v>
      </c>
      <c r="H72" s="34">
        <f>IFERROR('Data Sheet'!G83,0)</f>
        <v>-540.54</v>
      </c>
      <c r="I72" s="34">
        <f>IFERROR('Data Sheet'!H83,0)</f>
        <v>-316.75</v>
      </c>
      <c r="J72" s="34">
        <f>IFERROR('Data Sheet'!I83,0)</f>
        <v>-1282.3399999999999</v>
      </c>
      <c r="K72" s="34">
        <f>IFERROR('Data Sheet'!J83,0)</f>
        <v>-2548.48</v>
      </c>
      <c r="L72" s="34">
        <f>IFERROR('Data Sheet'!K83,0)</f>
        <v>-940.91</v>
      </c>
      <c r="M72" s="34"/>
      <c r="N72" s="12"/>
    </row>
    <row r="73" spans="1:14" outlineLevel="1" x14ac:dyDescent="0.3">
      <c r="B73" s="33" t="s">
        <v>120</v>
      </c>
      <c r="C73" s="34">
        <f>IFERROR('Data Sheet'!B84,0)</f>
        <v>-848.98</v>
      </c>
      <c r="D73" s="34">
        <f>IFERROR('Data Sheet'!C84,0)</f>
        <v>-756.43</v>
      </c>
      <c r="E73" s="34">
        <f>IFERROR('Data Sheet'!D84,0)</f>
        <v>-1379.14</v>
      </c>
      <c r="F73" s="34">
        <f>IFERROR('Data Sheet'!E84,0)</f>
        <v>-1117.46</v>
      </c>
      <c r="G73" s="34">
        <f>IFERROR('Data Sheet'!F84,0)</f>
        <v>-2871.46</v>
      </c>
      <c r="H73" s="34">
        <f>IFERROR('Data Sheet'!G84,0)</f>
        <v>-650.4</v>
      </c>
      <c r="I73" s="34">
        <f>IFERROR('Data Sheet'!H84,0)</f>
        <v>-1807.61</v>
      </c>
      <c r="J73" s="34">
        <f>IFERROR('Data Sheet'!I84,0)</f>
        <v>-2140.0500000000002</v>
      </c>
      <c r="K73" s="34">
        <f>IFERROR('Data Sheet'!J84,0)</f>
        <v>-2982.5</v>
      </c>
      <c r="L73" s="34">
        <f>IFERROR('Data Sheet'!K84,0)</f>
        <v>-3752.58</v>
      </c>
      <c r="M73" s="34"/>
      <c r="N73" s="12"/>
    </row>
    <row r="74" spans="1:14" outlineLevel="1" x14ac:dyDescent="0.3">
      <c r="B74" s="66" t="s">
        <v>21</v>
      </c>
      <c r="C74" s="101">
        <f>SUM(C71:C73)</f>
        <v>527.75999999999976</v>
      </c>
      <c r="D74" s="101">
        <f t="shared" ref="D74:L74" si="23">SUM(D71:D73)</f>
        <v>89.789999999999964</v>
      </c>
      <c r="E74" s="101">
        <f t="shared" si="23"/>
        <v>-821.84000000000015</v>
      </c>
      <c r="F74" s="101">
        <f t="shared" si="23"/>
        <v>434.28999999999996</v>
      </c>
      <c r="G74" s="101">
        <f t="shared" si="23"/>
        <v>-351.2199999999998</v>
      </c>
      <c r="H74" s="101">
        <f t="shared" si="23"/>
        <v>2492.41</v>
      </c>
      <c r="I74" s="101">
        <f t="shared" si="23"/>
        <v>-1137.8699999999999</v>
      </c>
      <c r="J74" s="101">
        <f t="shared" si="23"/>
        <v>771.04</v>
      </c>
      <c r="K74" s="101">
        <f t="shared" si="23"/>
        <v>572.62000000000035</v>
      </c>
      <c r="L74" s="101">
        <f t="shared" si="23"/>
        <v>-269.52999999999975</v>
      </c>
      <c r="M74" s="12"/>
      <c r="N74" s="12"/>
    </row>
    <row r="75" spans="1:14" x14ac:dyDescent="0.3">
      <c r="B75" s="46"/>
      <c r="C75" s="109"/>
      <c r="D75" s="34"/>
      <c r="E75" s="34"/>
      <c r="F75" s="34"/>
      <c r="G75" s="34"/>
      <c r="H75" s="34"/>
      <c r="I75" s="34"/>
      <c r="J75" s="34"/>
      <c r="K75" s="34"/>
      <c r="L75" s="34"/>
      <c r="M75" s="12"/>
      <c r="N75" s="12"/>
    </row>
    <row r="76" spans="1:14" x14ac:dyDescent="0.3">
      <c r="B76" s="46"/>
      <c r="C76" s="109"/>
      <c r="D76" s="34"/>
      <c r="E76" s="34"/>
      <c r="F76" s="34"/>
      <c r="G76" s="34"/>
      <c r="H76" s="34"/>
      <c r="I76" s="34"/>
      <c r="J76" s="34"/>
      <c r="K76" s="34"/>
      <c r="L76" s="34"/>
      <c r="M76" s="12"/>
      <c r="N76" s="12"/>
    </row>
    <row r="77" spans="1:14" x14ac:dyDescent="0.3">
      <c r="B77" s="38"/>
      <c r="C77" s="39"/>
      <c r="F77" s="39"/>
      <c r="G77" s="39"/>
      <c r="H77" s="39"/>
      <c r="I77" s="39"/>
      <c r="J77" s="39"/>
      <c r="K77" s="39"/>
      <c r="M77" s="12"/>
    </row>
    <row r="78" spans="1:14" x14ac:dyDescent="0.3">
      <c r="B78" s="38"/>
      <c r="C78" s="39"/>
      <c r="F78" s="34"/>
      <c r="G78" s="34"/>
      <c r="H78" s="34"/>
      <c r="I78" s="34"/>
      <c r="J78" s="34"/>
      <c r="K78" s="34"/>
      <c r="M78" s="12"/>
    </row>
    <row r="79" spans="1:14" x14ac:dyDescent="0.3">
      <c r="B79" s="38"/>
      <c r="C79" s="39"/>
      <c r="M79" s="12"/>
    </row>
    <row r="80" spans="1:14" x14ac:dyDescent="0.3">
      <c r="C80" s="12"/>
      <c r="F80" s="34"/>
      <c r="G80" s="34"/>
      <c r="H80" s="34"/>
      <c r="I80" s="34"/>
      <c r="J80" s="34"/>
      <c r="K80" s="34"/>
      <c r="M80" s="12"/>
    </row>
    <row r="81" spans="2:13" x14ac:dyDescent="0.3">
      <c r="C81" s="12"/>
      <c r="F81" s="34"/>
      <c r="G81" s="34"/>
      <c r="H81" s="34"/>
      <c r="I81" s="34"/>
      <c r="J81" s="34"/>
      <c r="K81" s="34"/>
      <c r="M81" s="12"/>
    </row>
    <row r="82" spans="2:13" x14ac:dyDescent="0.3">
      <c r="C82" s="12"/>
      <c r="F82" s="34"/>
      <c r="G82" s="34"/>
      <c r="H82" s="34"/>
      <c r="I82" s="34"/>
      <c r="J82" s="34"/>
      <c r="K82" s="34"/>
      <c r="M82" s="12"/>
    </row>
    <row r="83" spans="2:13" x14ac:dyDescent="0.3">
      <c r="C83" s="12"/>
      <c r="F83" s="34"/>
      <c r="G83" s="34"/>
      <c r="H83" s="34"/>
      <c r="I83" s="34"/>
      <c r="J83" s="34"/>
      <c r="K83" s="34"/>
      <c r="M83" s="12"/>
    </row>
    <row r="84" spans="2:13" x14ac:dyDescent="0.3">
      <c r="C84" s="12"/>
      <c r="F84" s="34"/>
      <c r="G84" s="34"/>
      <c r="H84" s="34"/>
      <c r="I84" s="34"/>
      <c r="J84" s="34"/>
      <c r="K84" s="34"/>
      <c r="M84" s="12"/>
    </row>
    <row r="85" spans="2:13" x14ac:dyDescent="0.3">
      <c r="C85" s="12"/>
      <c r="F85" s="34"/>
      <c r="G85" s="34"/>
      <c r="H85" s="34"/>
      <c r="I85" s="34"/>
      <c r="J85" s="34"/>
      <c r="K85" s="34"/>
      <c r="M85" s="12"/>
    </row>
    <row r="86" spans="2:13" x14ac:dyDescent="0.3">
      <c r="C86" s="12"/>
      <c r="F86" s="34"/>
      <c r="G86" s="34"/>
      <c r="H86" s="34"/>
      <c r="I86" s="34"/>
      <c r="J86" s="34"/>
      <c r="K86" s="34"/>
      <c r="M86" s="12"/>
    </row>
    <row r="87" spans="2:13" x14ac:dyDescent="0.3">
      <c r="C87" s="12"/>
      <c r="F87" s="34"/>
      <c r="G87" s="34"/>
      <c r="H87" s="34"/>
      <c r="I87" s="34"/>
      <c r="J87" s="34"/>
      <c r="K87" s="34"/>
      <c r="M87" s="12"/>
    </row>
    <row r="88" spans="2:13" x14ac:dyDescent="0.3">
      <c r="B88" s="32"/>
      <c r="C88" s="110"/>
      <c r="F88" s="39"/>
      <c r="G88" s="39"/>
      <c r="H88" s="39"/>
      <c r="I88" s="39"/>
      <c r="J88" s="39"/>
      <c r="K88" s="39"/>
      <c r="M88" s="12"/>
    </row>
    <row r="89" spans="2:13" x14ac:dyDescent="0.3">
      <c r="C89" s="12"/>
      <c r="M89" s="12"/>
    </row>
    <row r="90" spans="2:13" x14ac:dyDescent="0.3">
      <c r="B90" s="32"/>
      <c r="C90" s="110"/>
      <c r="M90" s="12"/>
    </row>
    <row r="91" spans="2:13" x14ac:dyDescent="0.3">
      <c r="C91" s="12"/>
      <c r="F91" s="34"/>
      <c r="G91" s="34"/>
      <c r="H91" s="34"/>
      <c r="I91" s="34"/>
      <c r="J91" s="34"/>
      <c r="K91" s="34"/>
      <c r="M91" s="12"/>
    </row>
    <row r="92" spans="2:13" x14ac:dyDescent="0.3">
      <c r="C92" s="12"/>
      <c r="F92" s="34"/>
      <c r="G92" s="34"/>
      <c r="H92" s="34"/>
      <c r="I92" s="34"/>
      <c r="J92" s="34"/>
      <c r="K92" s="34"/>
      <c r="M92" s="12"/>
    </row>
    <row r="93" spans="2:13" x14ac:dyDescent="0.3">
      <c r="C93" s="12"/>
      <c r="F93" s="34"/>
      <c r="G93" s="34"/>
      <c r="H93" s="34"/>
      <c r="I93" s="34"/>
      <c r="J93" s="34"/>
      <c r="K93" s="34"/>
      <c r="M93" s="12"/>
    </row>
    <row r="94" spans="2:13" x14ac:dyDescent="0.3">
      <c r="C94" s="12"/>
      <c r="F94" s="34"/>
      <c r="G94" s="34"/>
      <c r="H94" s="34"/>
      <c r="I94" s="34"/>
      <c r="J94" s="34"/>
      <c r="K94" s="34"/>
      <c r="M94" s="12"/>
    </row>
    <row r="95" spans="2:13" x14ac:dyDescent="0.3">
      <c r="C95" s="12"/>
      <c r="F95" s="34"/>
      <c r="G95" s="34"/>
      <c r="H95" s="34"/>
      <c r="I95" s="34"/>
      <c r="J95" s="34"/>
      <c r="K95" s="34"/>
      <c r="M95" s="12"/>
    </row>
    <row r="96" spans="2:13" x14ac:dyDescent="0.3">
      <c r="C96" s="12"/>
      <c r="F96" s="34"/>
      <c r="G96" s="34"/>
      <c r="H96" s="34"/>
      <c r="I96" s="34"/>
      <c r="J96" s="34"/>
      <c r="K96" s="34"/>
      <c r="M96" s="12"/>
    </row>
    <row r="97" spans="1:13" x14ac:dyDescent="0.3">
      <c r="B97" s="32"/>
      <c r="C97" s="110"/>
      <c r="F97" s="39"/>
      <c r="G97" s="39"/>
      <c r="H97" s="39"/>
      <c r="I97" s="39"/>
      <c r="J97" s="39"/>
      <c r="K97" s="39"/>
      <c r="M97" s="12"/>
    </row>
    <row r="98" spans="1:13" x14ac:dyDescent="0.3">
      <c r="C98" s="12"/>
      <c r="M98" s="12"/>
    </row>
    <row r="99" spans="1:13" x14ac:dyDescent="0.3">
      <c r="A99" s="15"/>
      <c r="B99" s="32"/>
      <c r="C99" s="110"/>
      <c r="F99" s="39"/>
      <c r="G99" s="39"/>
      <c r="H99" s="39"/>
      <c r="I99" s="39"/>
      <c r="J99" s="39"/>
      <c r="K99" s="39"/>
      <c r="M99" s="12"/>
    </row>
    <row r="100" spans="1:13" x14ac:dyDescent="0.3">
      <c r="C100" s="12"/>
      <c r="M100" s="12"/>
    </row>
    <row r="101" spans="1:13" x14ac:dyDescent="0.3">
      <c r="C101" s="12"/>
      <c r="M101" s="12"/>
    </row>
    <row r="102" spans="1:13" x14ac:dyDescent="0.3">
      <c r="C102" s="12"/>
      <c r="M102" s="12"/>
    </row>
    <row r="103" spans="1:13" x14ac:dyDescent="0.3">
      <c r="C103" s="12"/>
      <c r="M103" s="12"/>
    </row>
    <row r="104" spans="1:13" x14ac:dyDescent="0.3">
      <c r="C104" s="12"/>
      <c r="M104" s="12"/>
    </row>
    <row r="105" spans="1:13" x14ac:dyDescent="0.3">
      <c r="C105" s="12"/>
      <c r="M105" s="12"/>
    </row>
    <row r="106" spans="1:13" x14ac:dyDescent="0.3">
      <c r="C106" s="12"/>
      <c r="M106" s="12"/>
    </row>
    <row r="107" spans="1:13" x14ac:dyDescent="0.3">
      <c r="C107" s="12"/>
      <c r="M107" s="12"/>
    </row>
    <row r="108" spans="1:13" x14ac:dyDescent="0.3">
      <c r="C108" s="12"/>
      <c r="M108" s="12"/>
    </row>
    <row r="109" spans="1:13" x14ac:dyDescent="0.3">
      <c r="C109" s="12"/>
      <c r="M109" s="12"/>
    </row>
    <row r="110" spans="1:13" x14ac:dyDescent="0.3">
      <c r="C110" s="12"/>
      <c r="M110" s="12"/>
    </row>
    <row r="111" spans="1:13" x14ac:dyDescent="0.3">
      <c r="C111" s="12"/>
      <c r="M111" s="12"/>
    </row>
    <row r="112" spans="1:13" x14ac:dyDescent="0.3">
      <c r="C112" s="12"/>
      <c r="M112" s="12"/>
    </row>
    <row r="113" spans="3:13" x14ac:dyDescent="0.3">
      <c r="C113" s="12"/>
      <c r="M113" s="12"/>
    </row>
    <row r="114" spans="3:13" x14ac:dyDescent="0.3">
      <c r="C114" s="12"/>
      <c r="M114" s="12"/>
    </row>
    <row r="115" spans="3:13" x14ac:dyDescent="0.3">
      <c r="C115" s="12"/>
      <c r="M115" s="12"/>
    </row>
    <row r="116" spans="3:13" x14ac:dyDescent="0.3">
      <c r="C116" s="12"/>
      <c r="M116" s="12"/>
    </row>
    <row r="117" spans="3:13" x14ac:dyDescent="0.3">
      <c r="C117" s="12"/>
      <c r="M117" s="12"/>
    </row>
    <row r="118" spans="3:13" x14ac:dyDescent="0.3">
      <c r="C118" s="12"/>
      <c r="M118" s="12"/>
    </row>
    <row r="119" spans="3:13" x14ac:dyDescent="0.3">
      <c r="C119" s="12"/>
      <c r="M119" s="12"/>
    </row>
    <row r="120" spans="3:13" x14ac:dyDescent="0.3">
      <c r="C120" s="12"/>
      <c r="M120" s="12"/>
    </row>
    <row r="121" spans="3:13" x14ac:dyDescent="0.3">
      <c r="C121" s="12"/>
      <c r="M121" s="12"/>
    </row>
    <row r="122" spans="3:13" x14ac:dyDescent="0.3">
      <c r="C122" s="12"/>
      <c r="M122" s="12"/>
    </row>
    <row r="123" spans="3:13" x14ac:dyDescent="0.3">
      <c r="C123" s="12"/>
      <c r="M123" s="12"/>
    </row>
    <row r="124" spans="3:13" x14ac:dyDescent="0.3">
      <c r="C124" s="12"/>
      <c r="M124" s="12"/>
    </row>
    <row r="125" spans="3:13" x14ac:dyDescent="0.3">
      <c r="C125" s="12"/>
      <c r="M125" s="12"/>
    </row>
    <row r="126" spans="3:13" x14ac:dyDescent="0.3">
      <c r="C126" s="12"/>
      <c r="M126" s="12"/>
    </row>
    <row r="127" spans="3:13" x14ac:dyDescent="0.3">
      <c r="C127" s="12"/>
      <c r="M127" s="12"/>
    </row>
    <row r="128" spans="3:13" x14ac:dyDescent="0.3">
      <c r="C128" s="12"/>
      <c r="M128" s="12"/>
    </row>
    <row r="129" spans="3:13" x14ac:dyDescent="0.3">
      <c r="C129" s="12"/>
      <c r="M129" s="12"/>
    </row>
    <row r="130" spans="3:13" x14ac:dyDescent="0.3">
      <c r="C130" s="12"/>
      <c r="M130" s="12"/>
    </row>
    <row r="131" spans="3:13" x14ac:dyDescent="0.3">
      <c r="C131" s="12"/>
      <c r="M131" s="12"/>
    </row>
    <row r="132" spans="3:13" x14ac:dyDescent="0.3">
      <c r="C132" s="12"/>
      <c r="M132" s="12"/>
    </row>
    <row r="133" spans="3:13" x14ac:dyDescent="0.3">
      <c r="C133" s="12"/>
      <c r="M133" s="12"/>
    </row>
    <row r="134" spans="3:13" x14ac:dyDescent="0.3">
      <c r="C134" s="12"/>
      <c r="M134" s="12"/>
    </row>
    <row r="135" spans="3:13" x14ac:dyDescent="0.3">
      <c r="C135" s="12"/>
      <c r="M135" s="12"/>
    </row>
    <row r="136" spans="3:13" x14ac:dyDescent="0.3">
      <c r="C136" s="12"/>
      <c r="M136" s="12"/>
    </row>
    <row r="137" spans="3:13" x14ac:dyDescent="0.3">
      <c r="C137" s="12"/>
      <c r="M137" s="12"/>
    </row>
    <row r="138" spans="3:13" x14ac:dyDescent="0.3">
      <c r="C138" s="12"/>
      <c r="M138" s="12"/>
    </row>
    <row r="139" spans="3:13" x14ac:dyDescent="0.3">
      <c r="C139" s="12"/>
      <c r="M139" s="12"/>
    </row>
    <row r="140" spans="3:13" x14ac:dyDescent="0.3">
      <c r="C140" s="12"/>
      <c r="M140" s="12"/>
    </row>
    <row r="141" spans="3:13" x14ac:dyDescent="0.3">
      <c r="C141" s="12"/>
      <c r="M141" s="12"/>
    </row>
    <row r="142" spans="3:13" x14ac:dyDescent="0.3">
      <c r="C142" s="12"/>
      <c r="M142" s="12"/>
    </row>
    <row r="143" spans="3:13" x14ac:dyDescent="0.3">
      <c r="C143" s="12"/>
      <c r="M143" s="12"/>
    </row>
    <row r="144" spans="3:13" x14ac:dyDescent="0.3">
      <c r="C144" s="12"/>
      <c r="M144" s="12"/>
    </row>
    <row r="145" spans="3:13" x14ac:dyDescent="0.3">
      <c r="C145" s="12"/>
      <c r="M145" s="12"/>
    </row>
    <row r="146" spans="3:13" x14ac:dyDescent="0.3">
      <c r="C146" s="12"/>
      <c r="M146" s="12"/>
    </row>
    <row r="147" spans="3:13" x14ac:dyDescent="0.3">
      <c r="C147" s="12"/>
      <c r="M147" s="12"/>
    </row>
    <row r="148" spans="3:13" x14ac:dyDescent="0.3">
      <c r="C148" s="12"/>
      <c r="M148" s="12"/>
    </row>
    <row r="149" spans="3:13" x14ac:dyDescent="0.3">
      <c r="C149" s="12"/>
      <c r="M149" s="12"/>
    </row>
    <row r="150" spans="3:13" x14ac:dyDescent="0.3">
      <c r="C150" s="12"/>
      <c r="M150" s="12"/>
    </row>
    <row r="151" spans="3:13" x14ac:dyDescent="0.3">
      <c r="C151" s="12"/>
      <c r="M151" s="12"/>
    </row>
    <row r="152" spans="3:13" x14ac:dyDescent="0.3">
      <c r="C152" s="12"/>
      <c r="M152" s="12"/>
    </row>
    <row r="153" spans="3:13" x14ac:dyDescent="0.3">
      <c r="C153" s="12"/>
      <c r="M153" s="12"/>
    </row>
    <row r="154" spans="3:13" x14ac:dyDescent="0.3">
      <c r="C154" s="12"/>
      <c r="M154" s="12"/>
    </row>
    <row r="155" spans="3:13" x14ac:dyDescent="0.3">
      <c r="C155" s="12"/>
      <c r="M155" s="12"/>
    </row>
    <row r="156" spans="3:13" x14ac:dyDescent="0.3">
      <c r="C156" s="12"/>
      <c r="M156" s="12"/>
    </row>
    <row r="157" spans="3:13" x14ac:dyDescent="0.3">
      <c r="C157" s="12"/>
      <c r="M157" s="12"/>
    </row>
    <row r="158" spans="3:13" x14ac:dyDescent="0.3">
      <c r="C158" s="12"/>
      <c r="M158" s="12"/>
    </row>
    <row r="159" spans="3:13" x14ac:dyDescent="0.3">
      <c r="C159" s="12"/>
      <c r="M159" s="12"/>
    </row>
    <row r="160" spans="3:13" x14ac:dyDescent="0.3">
      <c r="C160" s="12"/>
      <c r="M160" s="12"/>
    </row>
    <row r="161" spans="3:13" x14ac:dyDescent="0.3">
      <c r="C161" s="12"/>
      <c r="M161" s="12"/>
    </row>
    <row r="162" spans="3:13" x14ac:dyDescent="0.3">
      <c r="C162" s="12"/>
      <c r="M162" s="12"/>
    </row>
    <row r="163" spans="3:13" x14ac:dyDescent="0.3">
      <c r="C163" s="12"/>
      <c r="M163" s="12"/>
    </row>
    <row r="164" spans="3:13" x14ac:dyDescent="0.3">
      <c r="C164" s="12"/>
      <c r="M164" s="12"/>
    </row>
    <row r="165" spans="3:13" x14ac:dyDescent="0.3">
      <c r="C165" s="12"/>
      <c r="M165" s="12"/>
    </row>
    <row r="166" spans="3:13" x14ac:dyDescent="0.3">
      <c r="C166" s="12"/>
      <c r="M166" s="12"/>
    </row>
    <row r="167" spans="3:13" x14ac:dyDescent="0.3">
      <c r="C167" s="12"/>
      <c r="M167" s="12"/>
    </row>
    <row r="168" spans="3:13" x14ac:dyDescent="0.3">
      <c r="C168" s="12"/>
      <c r="M168" s="12"/>
    </row>
    <row r="169" spans="3:13" x14ac:dyDescent="0.3">
      <c r="C169" s="12"/>
      <c r="M169" s="12"/>
    </row>
    <row r="170" spans="3:13" x14ac:dyDescent="0.3">
      <c r="C170" s="12"/>
      <c r="M170" s="12"/>
    </row>
    <row r="171" spans="3:13" x14ac:dyDescent="0.3">
      <c r="C171" s="12"/>
      <c r="M171" s="12"/>
    </row>
    <row r="172" spans="3:13" x14ac:dyDescent="0.3">
      <c r="C172" s="12"/>
      <c r="M172" s="12"/>
    </row>
    <row r="173" spans="3:13" x14ac:dyDescent="0.3">
      <c r="C173" s="12"/>
      <c r="M173" s="12"/>
    </row>
    <row r="174" spans="3:13" x14ac:dyDescent="0.3">
      <c r="C174" s="12"/>
      <c r="M174" s="12"/>
    </row>
    <row r="175" spans="3:13" x14ac:dyDescent="0.3">
      <c r="C175" s="12"/>
      <c r="M175" s="12"/>
    </row>
    <row r="176" spans="3:13" x14ac:dyDescent="0.3">
      <c r="C176" s="12"/>
      <c r="M176" s="12"/>
    </row>
    <row r="177" spans="3:13" x14ac:dyDescent="0.3">
      <c r="C177" s="12"/>
      <c r="M177" s="12"/>
    </row>
    <row r="178" spans="3:13" x14ac:dyDescent="0.3">
      <c r="C178" s="12"/>
      <c r="M178" s="12"/>
    </row>
    <row r="179" spans="3:13" x14ac:dyDescent="0.3">
      <c r="C179" s="12"/>
      <c r="M179" s="12"/>
    </row>
    <row r="180" spans="3:13" x14ac:dyDescent="0.3">
      <c r="C180" s="12"/>
      <c r="M180" s="12"/>
    </row>
    <row r="181" spans="3:13" x14ac:dyDescent="0.3">
      <c r="C181" s="12"/>
      <c r="M181" s="12"/>
    </row>
    <row r="182" spans="3:13" x14ac:dyDescent="0.3">
      <c r="C182" s="12"/>
      <c r="M182" s="12"/>
    </row>
  </sheetData>
  <mergeCells count="1">
    <mergeCell ref="B2:M2"/>
  </mergeCells>
  <pageMargins left="0.7" right="0.7" top="0.75" bottom="0.75" header="0.3" footer="0.3"/>
  <ignoredErrors>
    <ignoredError sqref="M6 C15:H15 I15:L15 M21 M24 M9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54A0-377D-4F99-A78E-1E6C32C2A3F8}">
  <dimension ref="B2:W42"/>
  <sheetViews>
    <sheetView showGridLines="0" zoomScale="148" zoomScaleNormal="148" workbookViewId="0">
      <selection activeCell="L23" sqref="L23"/>
    </sheetView>
  </sheetViews>
  <sheetFormatPr defaultRowHeight="14.4" x14ac:dyDescent="0.3"/>
  <cols>
    <col min="1" max="1" width="1.77734375" customWidth="1"/>
    <col min="2" max="3" width="10.88671875" bestFit="1" customWidth="1"/>
    <col min="4" max="4" width="11.109375" bestFit="1" customWidth="1"/>
    <col min="5" max="5" width="14.6640625" customWidth="1"/>
    <col min="6" max="6" width="9.5546875" customWidth="1"/>
    <col min="7" max="7" width="11.21875" bestFit="1" customWidth="1"/>
    <col min="8" max="8" width="10.5546875" customWidth="1"/>
    <col min="9" max="9" width="14.33203125" customWidth="1"/>
    <col min="10" max="10" width="13" customWidth="1"/>
    <col min="11" max="11" width="12.109375" bestFit="1" customWidth="1"/>
    <col min="12" max="12" width="24.5546875" bestFit="1" customWidth="1"/>
    <col min="13" max="13" width="25.6640625" bestFit="1" customWidth="1"/>
  </cols>
  <sheetData>
    <row r="2" spans="2:23" x14ac:dyDescent="0.3">
      <c r="B2" s="162" t="str">
        <f>'Data Sheet'!B1&amp;" - "&amp;"Sales Forecasting"</f>
        <v>ASIAN PAINTS LTD - Sales Forecasting</v>
      </c>
      <c r="C2" s="162"/>
      <c r="D2" s="162"/>
      <c r="E2" s="162"/>
      <c r="G2" s="162" t="str">
        <f>'Data Sheet'!B1&amp;" - "&amp;"Ebitda Forecasting"</f>
        <v>ASIAN PAINTS LTD - Ebitda Forecasting</v>
      </c>
      <c r="H2" s="162"/>
      <c r="I2" s="162"/>
      <c r="J2" s="162"/>
      <c r="N2" s="23"/>
      <c r="O2" s="23"/>
      <c r="P2" s="18"/>
      <c r="Q2" s="18"/>
      <c r="R2" s="18"/>
      <c r="S2" s="18"/>
      <c r="T2" s="18"/>
      <c r="U2" s="18"/>
      <c r="V2" s="19"/>
      <c r="W2" s="17"/>
    </row>
    <row r="3" spans="2:23" x14ac:dyDescent="0.3">
      <c r="B3" s="83" t="s">
        <v>108</v>
      </c>
      <c r="C3" s="84" t="s">
        <v>109</v>
      </c>
      <c r="D3" s="84" t="s">
        <v>1</v>
      </c>
      <c r="E3" s="84" t="s">
        <v>10</v>
      </c>
      <c r="G3" s="83" t="s">
        <v>108</v>
      </c>
      <c r="H3" s="84" t="s">
        <v>109</v>
      </c>
      <c r="I3" s="84" t="s">
        <v>90</v>
      </c>
      <c r="J3" s="84" t="s">
        <v>10</v>
      </c>
      <c r="N3" s="24"/>
      <c r="O3" s="25"/>
      <c r="P3" s="20"/>
      <c r="Q3" s="20"/>
      <c r="R3" s="20"/>
      <c r="S3" s="20"/>
      <c r="T3" s="20"/>
      <c r="U3" s="20"/>
      <c r="V3" s="20"/>
    </row>
    <row r="4" spans="2:23" x14ac:dyDescent="0.3">
      <c r="B4" s="100">
        <v>1</v>
      </c>
      <c r="C4" s="22">
        <f>HistoricalsFS!C3</f>
        <v>42460</v>
      </c>
      <c r="D4" s="99">
        <f t="array" ref="D4:D13">TRANSPOSE(HistoricalsFS!C6:L6)</f>
        <v>14271.49</v>
      </c>
      <c r="E4" s="27"/>
      <c r="G4" s="100">
        <v>1</v>
      </c>
      <c r="H4" s="22">
        <f>HistoricalsFS!C3</f>
        <v>42460</v>
      </c>
      <c r="I4" s="26">
        <f t="array" ref="I4:I13">TRANSPOSE(HistoricalsFS!C18:L18)</f>
        <v>2725.0400000000013</v>
      </c>
      <c r="J4" s="27"/>
    </row>
    <row r="5" spans="2:23" x14ac:dyDescent="0.3">
      <c r="B5" s="100">
        <v>2</v>
      </c>
      <c r="C5" s="22">
        <f t="shared" ref="C5:C22" si="0">C4+365</f>
        <v>42825</v>
      </c>
      <c r="D5" s="99">
        <v>15061.99</v>
      </c>
      <c r="E5" s="27">
        <f>D5/D4-1</f>
        <v>5.5390151974320734E-2</v>
      </c>
      <c r="G5" s="100">
        <v>2</v>
      </c>
      <c r="H5" s="22">
        <f t="shared" ref="H5:H22" si="1">H4+365</f>
        <v>42825</v>
      </c>
      <c r="I5" s="26">
        <v>2993.76</v>
      </c>
      <c r="J5" s="27">
        <f t="shared" ref="J5:J22" si="2">I5/I4-1</f>
        <v>9.861139652995865E-2</v>
      </c>
      <c r="L5" s="87" t="s">
        <v>126</v>
      </c>
      <c r="M5" s="87" t="s">
        <v>127</v>
      </c>
    </row>
    <row r="6" spans="2:23" x14ac:dyDescent="0.3">
      <c r="B6" s="100">
        <v>3</v>
      </c>
      <c r="C6" s="22">
        <f t="shared" si="0"/>
        <v>43190</v>
      </c>
      <c r="D6" s="99">
        <v>16824.55</v>
      </c>
      <c r="E6" s="27">
        <f t="shared" ref="E6:E22" si="3">D6/D5-1</f>
        <v>0.11702039371955486</v>
      </c>
      <c r="G6" s="100">
        <v>3</v>
      </c>
      <c r="H6" s="22">
        <f t="shared" si="1"/>
        <v>43190</v>
      </c>
      <c r="I6" s="26">
        <v>3204.0100000000011</v>
      </c>
      <c r="J6" s="27">
        <f t="shared" si="2"/>
        <v>7.0229410507188561E-2</v>
      </c>
      <c r="L6" s="85">
        <f>AVERAGE(E5:E13)</f>
        <v>0.10561774133532183</v>
      </c>
      <c r="M6" s="85">
        <f>AVERAGE(J5:J13)</f>
        <v>0.10133549728775089</v>
      </c>
    </row>
    <row r="7" spans="2:23" x14ac:dyDescent="0.3">
      <c r="B7" s="100">
        <v>4</v>
      </c>
      <c r="C7" s="22">
        <f t="shared" si="0"/>
        <v>43555</v>
      </c>
      <c r="D7" s="99">
        <v>19240.13</v>
      </c>
      <c r="E7" s="27">
        <f t="shared" si="3"/>
        <v>0.14357471670861943</v>
      </c>
      <c r="G7" s="100">
        <v>4</v>
      </c>
      <c r="H7" s="22">
        <f t="shared" si="1"/>
        <v>43555</v>
      </c>
      <c r="I7" s="26">
        <v>3764.9400000000014</v>
      </c>
      <c r="J7" s="27">
        <f t="shared" si="2"/>
        <v>0.17507123885381137</v>
      </c>
    </row>
    <row r="8" spans="2:23" x14ac:dyDescent="0.3">
      <c r="B8" s="100">
        <v>5</v>
      </c>
      <c r="C8" s="22">
        <f t="shared" si="0"/>
        <v>43920</v>
      </c>
      <c r="D8" s="99">
        <v>20211.25</v>
      </c>
      <c r="E8" s="27">
        <f t="shared" si="3"/>
        <v>5.0473671435691925E-2</v>
      </c>
      <c r="G8" s="100">
        <v>5</v>
      </c>
      <c r="H8" s="22">
        <f t="shared" si="1"/>
        <v>43920</v>
      </c>
      <c r="I8" s="26">
        <v>4161.7699999999977</v>
      </c>
      <c r="J8" s="27">
        <f t="shared" si="2"/>
        <v>0.10540141409955961</v>
      </c>
      <c r="L8" s="87" t="s">
        <v>128</v>
      </c>
      <c r="M8" s="87" t="s">
        <v>129</v>
      </c>
    </row>
    <row r="9" spans="2:23" x14ac:dyDescent="0.3">
      <c r="B9" s="100">
        <v>6</v>
      </c>
      <c r="C9" s="22">
        <f t="shared" si="0"/>
        <v>44285</v>
      </c>
      <c r="D9" s="99">
        <v>21712.79</v>
      </c>
      <c r="E9" s="27">
        <f t="shared" si="3"/>
        <v>7.4292287711052118E-2</v>
      </c>
      <c r="G9" s="100">
        <v>6</v>
      </c>
      <c r="H9" s="22">
        <f t="shared" si="1"/>
        <v>44285</v>
      </c>
      <c r="I9" s="26">
        <v>4855.6000000000031</v>
      </c>
      <c r="J9" s="27">
        <f t="shared" si="2"/>
        <v>0.16671512361327179</v>
      </c>
      <c r="L9" s="86">
        <f>_xlfn.RRI($B$13,D4,D13)</f>
        <v>9.0385926021171015E-2</v>
      </c>
      <c r="M9" s="86">
        <f>_xlfn.RRI(G13,I4,I13)</f>
        <v>8.2237960433851454E-2</v>
      </c>
    </row>
    <row r="10" spans="2:23" x14ac:dyDescent="0.3">
      <c r="B10" s="100">
        <v>7</v>
      </c>
      <c r="C10" s="22">
        <f t="shared" si="0"/>
        <v>44650</v>
      </c>
      <c r="D10" s="99">
        <v>29101.279999999999</v>
      </c>
      <c r="E10" s="27">
        <f t="shared" si="3"/>
        <v>0.34028284711453471</v>
      </c>
      <c r="G10" s="100">
        <v>7</v>
      </c>
      <c r="H10" s="22">
        <f t="shared" si="1"/>
        <v>44650</v>
      </c>
      <c r="I10" s="26">
        <v>4803.6099999999988</v>
      </c>
      <c r="J10" s="27">
        <f t="shared" si="2"/>
        <v>-1.0707224647830249E-2</v>
      </c>
    </row>
    <row r="11" spans="2:23" x14ac:dyDescent="0.3">
      <c r="B11" s="100">
        <v>8</v>
      </c>
      <c r="C11" s="22">
        <f t="shared" si="0"/>
        <v>45015</v>
      </c>
      <c r="D11" s="99">
        <v>34488.589999999997</v>
      </c>
      <c r="E11" s="27">
        <f t="shared" si="3"/>
        <v>0.18512278497715551</v>
      </c>
      <c r="G11" s="100">
        <v>8</v>
      </c>
      <c r="H11" s="22">
        <f t="shared" si="1"/>
        <v>45015</v>
      </c>
      <c r="I11" s="26">
        <v>6259.8399999999956</v>
      </c>
      <c r="J11" s="27">
        <f t="shared" si="2"/>
        <v>0.3031532534906034</v>
      </c>
      <c r="L11" s="87" t="s">
        <v>131</v>
      </c>
      <c r="M11" s="87" t="s">
        <v>130</v>
      </c>
    </row>
    <row r="12" spans="2:23" x14ac:dyDescent="0.3">
      <c r="B12" s="100">
        <v>9</v>
      </c>
      <c r="C12" s="22">
        <f t="shared" si="0"/>
        <v>45380</v>
      </c>
      <c r="D12" s="99">
        <v>35494.730000000003</v>
      </c>
      <c r="E12" s="27">
        <f t="shared" si="3"/>
        <v>2.9173126532572313E-2</v>
      </c>
      <c r="G12" s="100">
        <v>9</v>
      </c>
      <c r="H12" s="22">
        <f t="shared" si="1"/>
        <v>45380</v>
      </c>
      <c r="I12" s="26">
        <v>7584.9800000000014</v>
      </c>
      <c r="J12" s="27">
        <f t="shared" si="2"/>
        <v>0.21168911665473988</v>
      </c>
      <c r="L12" s="86">
        <f>_xlfn.STDEV.S(E4:E13)</f>
        <v>0.11065985274742197</v>
      </c>
      <c r="M12" s="86">
        <f>_xlfn.STDEV.S(J4:J13)</f>
        <v>0.1466043194630095</v>
      </c>
    </row>
    <row r="13" spans="2:23" x14ac:dyDescent="0.3">
      <c r="B13" s="100">
        <v>10</v>
      </c>
      <c r="C13" s="22">
        <f t="shared" si="0"/>
        <v>45745</v>
      </c>
      <c r="D13" s="99">
        <v>33905.620000000003</v>
      </c>
      <c r="E13" s="27">
        <f t="shared" si="3"/>
        <v>-4.4770308155605121E-2</v>
      </c>
      <c r="G13" s="100">
        <v>10</v>
      </c>
      <c r="H13" s="22">
        <f t="shared" si="1"/>
        <v>45745</v>
      </c>
      <c r="I13" s="26">
        <v>6006.2100000000019</v>
      </c>
      <c r="J13" s="27">
        <f t="shared" si="2"/>
        <v>-0.20814425351154509</v>
      </c>
    </row>
    <row r="14" spans="2:23" x14ac:dyDescent="0.3">
      <c r="B14" s="100">
        <v>11</v>
      </c>
      <c r="C14" s="21">
        <f t="shared" si="0"/>
        <v>46110</v>
      </c>
      <c r="D14" s="26">
        <f>FORECAST(B14,$D$4:$D$13,$B$4:$B$13)</f>
        <v>38669.293333333335</v>
      </c>
      <c r="E14" s="27">
        <f t="shared" si="3"/>
        <v>0.14049804526014653</v>
      </c>
      <c r="G14" s="100">
        <v>11</v>
      </c>
      <c r="H14" s="21">
        <f t="shared" si="1"/>
        <v>46110</v>
      </c>
      <c r="I14" s="26">
        <f>FORECAST(G14,$I$4:$I$13,$G$4:$G$13)</f>
        <v>7327.9113333333335</v>
      </c>
      <c r="J14" s="27">
        <f t="shared" si="2"/>
        <v>0.2200557978048272</v>
      </c>
    </row>
    <row r="15" spans="2:23" x14ac:dyDescent="0.3">
      <c r="B15" s="100">
        <v>12</v>
      </c>
      <c r="C15" s="21">
        <f t="shared" si="0"/>
        <v>46475</v>
      </c>
      <c r="D15" s="26">
        <f t="shared" ref="D15:D22" si="4">FORECAST(B15,$D$4:$D$13,$B$4:$B$13)</f>
        <v>41330.757212121214</v>
      </c>
      <c r="E15" s="27">
        <f t="shared" si="3"/>
        <v>6.8826286941573667E-2</v>
      </c>
      <c r="G15" s="100">
        <v>12</v>
      </c>
      <c r="H15" s="21">
        <f t="shared" si="1"/>
        <v>46475</v>
      </c>
      <c r="I15" s="26">
        <f t="shared" ref="I15:I22" si="5">FORECAST(G15,$I$4:$I$13,$G$4:$G$13)</f>
        <v>7817.3541212121208</v>
      </c>
      <c r="J15" s="27">
        <f t="shared" si="2"/>
        <v>6.6791581613767859E-2</v>
      </c>
    </row>
    <row r="16" spans="2:23" x14ac:dyDescent="0.3">
      <c r="B16" s="100">
        <v>13</v>
      </c>
      <c r="C16" s="21">
        <f t="shared" si="0"/>
        <v>46840</v>
      </c>
      <c r="D16" s="26">
        <f t="shared" si="4"/>
        <v>43992.221090909094</v>
      </c>
      <c r="E16" s="27">
        <f t="shared" si="3"/>
        <v>6.4394268537798283E-2</v>
      </c>
      <c r="G16" s="100">
        <v>13</v>
      </c>
      <c r="H16" s="21">
        <f t="shared" si="1"/>
        <v>46840</v>
      </c>
      <c r="I16" s="26">
        <f t="shared" si="5"/>
        <v>8306.79690909091</v>
      </c>
      <c r="J16" s="27">
        <f t="shared" si="2"/>
        <v>6.2609775672142431E-2</v>
      </c>
      <c r="L16" s="88"/>
      <c r="M16" s="88"/>
    </row>
    <row r="17" spans="2:15" x14ac:dyDescent="0.3">
      <c r="B17" s="100">
        <v>14</v>
      </c>
      <c r="C17" s="21">
        <f t="shared" si="0"/>
        <v>47205</v>
      </c>
      <c r="D17" s="26">
        <f t="shared" si="4"/>
        <v>46653.684969696973</v>
      </c>
      <c r="E17" s="27">
        <f t="shared" si="3"/>
        <v>6.0498511163780799E-2</v>
      </c>
      <c r="G17" s="100">
        <v>14</v>
      </c>
      <c r="H17" s="21">
        <f t="shared" si="1"/>
        <v>47205</v>
      </c>
      <c r="I17" s="26">
        <f t="shared" si="5"/>
        <v>8796.2396969696965</v>
      </c>
      <c r="J17" s="27">
        <f t="shared" si="2"/>
        <v>5.8920760099857805E-2</v>
      </c>
      <c r="L17" s="89"/>
      <c r="M17" s="89"/>
    </row>
    <row r="18" spans="2:15" x14ac:dyDescent="0.3">
      <c r="B18" s="100">
        <v>15</v>
      </c>
      <c r="C18" s="21">
        <f t="shared" si="0"/>
        <v>47570</v>
      </c>
      <c r="D18" s="26">
        <f t="shared" si="4"/>
        <v>49315.148848484852</v>
      </c>
      <c r="E18" s="27">
        <f t="shared" si="3"/>
        <v>5.7047238187435401E-2</v>
      </c>
      <c r="G18" s="100">
        <v>15</v>
      </c>
      <c r="H18" s="21">
        <f t="shared" si="1"/>
        <v>47570</v>
      </c>
      <c r="I18" s="26">
        <f t="shared" si="5"/>
        <v>9285.6824848484848</v>
      </c>
      <c r="J18" s="27">
        <f t="shared" si="2"/>
        <v>5.5642274965221894E-2</v>
      </c>
    </row>
    <row r="19" spans="2:15" x14ac:dyDescent="0.3">
      <c r="B19" s="100">
        <v>16</v>
      </c>
      <c r="C19" s="21">
        <f t="shared" si="0"/>
        <v>47935</v>
      </c>
      <c r="D19" s="26">
        <f t="shared" si="4"/>
        <v>51976.612727272732</v>
      </c>
      <c r="E19" s="27">
        <f t="shared" si="3"/>
        <v>5.3968485159903379E-2</v>
      </c>
      <c r="G19" s="100">
        <v>16</v>
      </c>
      <c r="H19" s="21">
        <f t="shared" si="1"/>
        <v>47935</v>
      </c>
      <c r="I19" s="26">
        <f t="shared" si="5"/>
        <v>9775.1252727272731</v>
      </c>
      <c r="J19" s="27">
        <f t="shared" si="2"/>
        <v>5.2709403824373169E-2</v>
      </c>
    </row>
    <row r="20" spans="2:15" x14ac:dyDescent="0.3">
      <c r="B20" s="100">
        <v>17</v>
      </c>
      <c r="C20" s="21">
        <f t="shared" si="0"/>
        <v>48300</v>
      </c>
      <c r="D20" s="26">
        <f t="shared" si="4"/>
        <v>54638.076606060611</v>
      </c>
      <c r="E20" s="27">
        <f t="shared" si="3"/>
        <v>5.1205027398627978E-2</v>
      </c>
      <c r="G20" s="100">
        <v>17</v>
      </c>
      <c r="H20" s="21">
        <f t="shared" si="1"/>
        <v>48300</v>
      </c>
      <c r="I20" s="26">
        <f t="shared" si="5"/>
        <v>10264.56806060606</v>
      </c>
      <c r="J20" s="27">
        <f t="shared" si="2"/>
        <v>5.00702317590076E-2</v>
      </c>
    </row>
    <row r="21" spans="2:15" x14ac:dyDescent="0.3">
      <c r="B21" s="100">
        <v>18</v>
      </c>
      <c r="C21" s="21">
        <f t="shared" si="0"/>
        <v>48665</v>
      </c>
      <c r="D21" s="26">
        <f t="shared" si="4"/>
        <v>57299.54048484849</v>
      </c>
      <c r="E21" s="27">
        <f t="shared" si="3"/>
        <v>4.8710790059045772E-2</v>
      </c>
      <c r="G21" s="100">
        <v>18</v>
      </c>
      <c r="H21" s="21">
        <f t="shared" si="1"/>
        <v>48665</v>
      </c>
      <c r="I21" s="26">
        <f t="shared" si="5"/>
        <v>10754.010848484848</v>
      </c>
      <c r="J21" s="27">
        <f t="shared" si="2"/>
        <v>4.7682745634197721E-2</v>
      </c>
      <c r="K21" s="28"/>
      <c r="L21" s="28"/>
    </row>
    <row r="22" spans="2:15" x14ac:dyDescent="0.3">
      <c r="B22" s="100">
        <v>19</v>
      </c>
      <c r="C22" s="21">
        <f t="shared" si="0"/>
        <v>49030</v>
      </c>
      <c r="D22" s="26">
        <f t="shared" si="4"/>
        <v>59961.00436363637</v>
      </c>
      <c r="E22" s="27">
        <f t="shared" si="3"/>
        <v>4.6448258681788923E-2</v>
      </c>
      <c r="G22" s="100">
        <v>19</v>
      </c>
      <c r="H22" s="21">
        <f t="shared" si="1"/>
        <v>49030</v>
      </c>
      <c r="I22" s="26">
        <f t="shared" si="5"/>
        <v>11243.453636363636</v>
      </c>
      <c r="J22" s="27">
        <f t="shared" si="2"/>
        <v>4.5512580819810688E-2</v>
      </c>
    </row>
    <row r="23" spans="2:15" x14ac:dyDescent="0.3">
      <c r="B23" s="9"/>
      <c r="G23" s="9"/>
    </row>
    <row r="24" spans="2:15" x14ac:dyDescent="0.3">
      <c r="B24" s="9"/>
      <c r="G24" s="9"/>
    </row>
    <row r="26" spans="2:15" x14ac:dyDescent="0.3">
      <c r="G26" s="28"/>
      <c r="H26" s="28"/>
      <c r="I26" s="28"/>
      <c r="J26" s="28"/>
      <c r="K26" s="28"/>
      <c r="L26" s="28"/>
      <c r="M26" s="28"/>
      <c r="N26" s="28"/>
      <c r="O26" s="28"/>
    </row>
    <row r="29" spans="2:15" x14ac:dyDescent="0.3">
      <c r="G29" s="90"/>
      <c r="H29" s="90"/>
    </row>
    <row r="37" spans="7:15" x14ac:dyDescent="0.3">
      <c r="G37" s="28"/>
      <c r="H37" s="28"/>
      <c r="I37" s="28"/>
      <c r="J37" s="28"/>
      <c r="K37" s="28"/>
      <c r="L37" s="28"/>
    </row>
    <row r="42" spans="7:15" x14ac:dyDescent="0.3">
      <c r="G42" s="28"/>
      <c r="H42" s="28"/>
      <c r="I42" s="28"/>
      <c r="J42" s="28"/>
      <c r="K42" s="28"/>
      <c r="L42" s="28"/>
      <c r="M42" s="28"/>
      <c r="N42" s="28"/>
      <c r="O42" s="28"/>
    </row>
  </sheetData>
  <mergeCells count="2">
    <mergeCell ref="B2:E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528-0151-43A0-8A5C-22F09BCC9475}">
  <dimension ref="A2:O46"/>
  <sheetViews>
    <sheetView showGridLines="0" zoomScale="131" zoomScaleNormal="131" workbookViewId="0">
      <pane ySplit="3" topLeftCell="A18" activePane="bottomLeft" state="frozen"/>
      <selection pane="bottomLeft" activeCell="Q32" sqref="Q32"/>
    </sheetView>
  </sheetViews>
  <sheetFormatPr defaultRowHeight="14.4" x14ac:dyDescent="0.3"/>
  <cols>
    <col min="1" max="1" width="1.88671875" customWidth="1"/>
    <col min="2" max="2" width="24.109375" bestFit="1" customWidth="1"/>
    <col min="3" max="12" width="9.88671875" bestFit="1" customWidth="1"/>
    <col min="13" max="13" width="20" customWidth="1"/>
    <col min="14" max="14" width="9" bestFit="1" customWidth="1"/>
    <col min="15" max="15" width="10.44140625" bestFit="1" customWidth="1"/>
  </cols>
  <sheetData>
    <row r="2" spans="2:15" x14ac:dyDescent="0.3">
      <c r="B2" s="161" t="e">
        <f>"Ratio Analysis"&amp;" - "&amp;#REF!</f>
        <v>#REF!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</row>
    <row r="3" spans="2:15" x14ac:dyDescent="0.3">
      <c r="B3" s="51" t="s">
        <v>56</v>
      </c>
      <c r="C3" s="56">
        <v>42460</v>
      </c>
      <c r="D3" s="56">
        <v>42825</v>
      </c>
      <c r="E3" s="56">
        <v>43190</v>
      </c>
      <c r="F3" s="56">
        <v>43555</v>
      </c>
      <c r="G3" s="56">
        <v>43921</v>
      </c>
      <c r="H3" s="56">
        <v>44286</v>
      </c>
      <c r="I3" s="56">
        <v>44651</v>
      </c>
      <c r="J3" s="56">
        <v>45016</v>
      </c>
      <c r="K3" s="56">
        <v>45382</v>
      </c>
      <c r="L3" s="56">
        <v>45747</v>
      </c>
      <c r="M3" s="82" t="s">
        <v>107</v>
      </c>
      <c r="N3" s="53" t="s">
        <v>105</v>
      </c>
      <c r="O3" s="53" t="s">
        <v>106</v>
      </c>
    </row>
    <row r="5" spans="2:15" x14ac:dyDescent="0.3">
      <c r="B5" s="68" t="s">
        <v>10</v>
      </c>
      <c r="C5" s="69"/>
      <c r="D5" s="70">
        <f>IFERROR(HistoricalsFS!D7,0)</f>
        <v>5.5390151974320734E-2</v>
      </c>
      <c r="E5" s="70">
        <f>IFERROR(HistoricalsFS!E7,0)</f>
        <v>0.11702039371955486</v>
      </c>
      <c r="F5" s="70">
        <f>IFERROR(HistoricalsFS!F7,0)</f>
        <v>0.14357471670861943</v>
      </c>
      <c r="G5" s="70">
        <f>IFERROR(HistoricalsFS!G7,0)</f>
        <v>5.0473671435691925E-2</v>
      </c>
      <c r="H5" s="70">
        <f>IFERROR(HistoricalsFS!H7,0)</f>
        <v>7.4292287711052118E-2</v>
      </c>
      <c r="I5" s="70">
        <f>IFERROR(HistoricalsFS!I7,0)</f>
        <v>0.34028284711453471</v>
      </c>
      <c r="J5" s="70">
        <f>IFERROR(HistoricalsFS!J7,0)</f>
        <v>0.18512278497715551</v>
      </c>
      <c r="K5" s="70">
        <f>IFERROR(HistoricalsFS!K7,0)</f>
        <v>2.9173126532572313E-2</v>
      </c>
      <c r="L5" s="70">
        <f>IFERROR(HistoricalsFS!L7,0)</f>
        <v>-4.4770308155605121E-2</v>
      </c>
      <c r="M5" s="71"/>
      <c r="N5" s="80">
        <f>AVERAGE(D5:L5)</f>
        <v>0.10561774133532183</v>
      </c>
      <c r="O5" s="80">
        <f>MEDIAN(D5:L5)</f>
        <v>7.4292287711052118E-2</v>
      </c>
    </row>
    <row r="6" spans="2:15" x14ac:dyDescent="0.3">
      <c r="B6" t="s">
        <v>123</v>
      </c>
      <c r="C6" s="67"/>
      <c r="D6" s="16">
        <f>IFERROR(HistoricalsFS!D18/HistoricalsFS!C18-1,0)</f>
        <v>9.861139652995865E-2</v>
      </c>
      <c r="E6" s="16">
        <f>IFERROR(HistoricalsFS!E18/HistoricalsFS!D18-1,0)</f>
        <v>7.0229410507188561E-2</v>
      </c>
      <c r="F6" s="16">
        <f>IFERROR(HistoricalsFS!F18/HistoricalsFS!E18-1,0)</f>
        <v>0.17507123885381137</v>
      </c>
      <c r="G6" s="16">
        <f>IFERROR(HistoricalsFS!G18/HistoricalsFS!F18-1,0)</f>
        <v>0.10540141409955961</v>
      </c>
      <c r="H6" s="16">
        <f>IFERROR(HistoricalsFS!H18/HistoricalsFS!G18-1,0)</f>
        <v>0.16671512361327179</v>
      </c>
      <c r="I6" s="16">
        <f>IFERROR(HistoricalsFS!I18/HistoricalsFS!H18-1,0)</f>
        <v>-1.0707224647830249E-2</v>
      </c>
      <c r="J6" s="16">
        <f>IFERROR(HistoricalsFS!J18/HistoricalsFS!I18-1,0)</f>
        <v>0.3031532534906034</v>
      </c>
      <c r="K6" s="16">
        <f>IFERROR(HistoricalsFS!K18/HistoricalsFS!J18-1,0)</f>
        <v>0.21168911665473988</v>
      </c>
      <c r="L6" s="16">
        <f>IFERROR(HistoricalsFS!L18/HistoricalsFS!K18-1,0)</f>
        <v>-0.20814425351154509</v>
      </c>
      <c r="M6" s="30"/>
      <c r="N6" s="4">
        <f t="shared" ref="N6:N9" si="0">AVERAGE(D6:L6)</f>
        <v>0.10133549728775089</v>
      </c>
      <c r="O6" s="4">
        <f t="shared" ref="O6:O9" si="1">MEDIAN(D6:L6)</f>
        <v>0.10540141409955961</v>
      </c>
    </row>
    <row r="7" spans="2:15" x14ac:dyDescent="0.3">
      <c r="B7" t="s">
        <v>124</v>
      </c>
      <c r="C7" s="67"/>
      <c r="D7" s="16">
        <f>IFERROR((HistoricalsFS!D18-HistoricalsFS!D24)/(HistoricalsFS!C18-HistoricalsFS!C24)-1,0)</f>
        <v>8.5533137916111501E-2</v>
      </c>
      <c r="E7" s="16">
        <f>IFERROR((HistoricalsFS!E18-HistoricalsFS!E24)/(HistoricalsFS!D18-HistoricalsFS!D24)-1,0)</f>
        <v>6.9414096435838069E-2</v>
      </c>
      <c r="F7" s="16">
        <f>IFERROR((HistoricalsFS!F18-HistoricalsFS!F24)/(HistoricalsFS!E18-HistoricalsFS!E24)-1,0)</f>
        <v>0.10524205743545045</v>
      </c>
      <c r="G7" s="16">
        <f>IFERROR((HistoricalsFS!G18-HistoricalsFS!G24)/(HistoricalsFS!F18-HistoricalsFS!F24)-1,0)</f>
        <v>7.5878197785413048E-2</v>
      </c>
      <c r="H7" s="16">
        <f>IFERROR((HistoricalsFS!H18-HistoricalsFS!H24)/(HistoricalsFS!G18-HistoricalsFS!G24)-1,0)</f>
        <v>0.20201285315872619</v>
      </c>
      <c r="I7" s="16">
        <f>IFERROR((HistoricalsFS!I18-HistoricalsFS!I24)/(HistoricalsFS!H18-HistoricalsFS!H24)-1,0)</f>
        <v>-1.896499546050745E-2</v>
      </c>
      <c r="J7" s="16">
        <f>IFERROR((HistoricalsFS!J18-HistoricalsFS!J24)/(HistoricalsFS!I18-HistoricalsFS!I24)-1,0)</f>
        <v>0.35477334002131733</v>
      </c>
      <c r="K7" s="16">
        <f>IFERROR((HistoricalsFS!K18-HistoricalsFS!K24)/(HistoricalsFS!J18-HistoricalsFS!J24)-1,0)</f>
        <v>0.2462429329374185</v>
      </c>
      <c r="L7" s="16">
        <f>IFERROR((HistoricalsFS!L18-HistoricalsFS!L24)/(HistoricalsFS!K18-HistoricalsFS!K24)-1,0)</f>
        <v>-0.26026666745890503</v>
      </c>
      <c r="M7" s="30"/>
      <c r="N7" s="4">
        <f t="shared" si="0"/>
        <v>9.5540550307873631E-2</v>
      </c>
      <c r="O7" s="4">
        <f t="shared" si="1"/>
        <v>8.5533137916111501E-2</v>
      </c>
    </row>
    <row r="8" spans="2:15" x14ac:dyDescent="0.3">
      <c r="B8" t="s">
        <v>79</v>
      </c>
      <c r="C8" s="67"/>
      <c r="D8" s="30">
        <f>IFERROR(HistoricalsFS!D33/HistoricalsFS!C33-1,0)</f>
        <v>7.4226377585258074E-2</v>
      </c>
      <c r="E8" s="30">
        <f>IFERROR(HistoricalsFS!E33/HistoricalsFS!D33-1,0)</f>
        <v>0.15230481630045767</v>
      </c>
      <c r="F8" s="30">
        <f>IFERROR(HistoricalsFS!F33/HistoricalsFS!E33-1,0)</f>
        <v>6.6123720080871307E-2</v>
      </c>
      <c r="G8" s="30">
        <f>IFERROR(HistoricalsFS!G33/HistoricalsFS!F33-1,0)</f>
        <v>0.15219269738099639</v>
      </c>
      <c r="H8" s="30">
        <f>IFERROR(HistoricalsFS!H33/HistoricalsFS!G33-1,0)</f>
        <v>0.18894928257609123</v>
      </c>
      <c r="I8" s="30">
        <f>IFERROR(HistoricalsFS!I33/HistoricalsFS!H33-1,0)</f>
        <v>-3.5026807369317181E-3</v>
      </c>
      <c r="J8" s="30">
        <f>IFERROR(HistoricalsFS!J33/HistoricalsFS!I33-1,0)</f>
        <v>0.36278365010278835</v>
      </c>
      <c r="K8" s="30">
        <f>IFERROR(HistoricalsFS!K33/HistoricalsFS!J33-1,0)</f>
        <v>0.26467052084896281</v>
      </c>
      <c r="L8" s="30">
        <f>IFERROR(HistoricalsFS!L33/HistoricalsFS!K33-1,0)</f>
        <v>-0.29508963975090663</v>
      </c>
      <c r="M8" s="30"/>
      <c r="N8" s="4">
        <f t="shared" si="0"/>
        <v>0.10696208270973195</v>
      </c>
      <c r="O8" s="4">
        <f t="shared" si="1"/>
        <v>0.15219269738099639</v>
      </c>
    </row>
    <row r="9" spans="2:15" x14ac:dyDescent="0.3">
      <c r="B9" s="72" t="s">
        <v>78</v>
      </c>
      <c r="C9" s="73"/>
      <c r="D9" s="74">
        <f>IFERROR(HistoricalsFS!D41/HistoricalsFS!C41-1,0)</f>
        <v>0.37333889352237981</v>
      </c>
      <c r="E9" s="74">
        <f>IFERROR(HistoricalsFS!E41/HistoricalsFS!D41-1,0)</f>
        <v>-0.15534727423632055</v>
      </c>
      <c r="F9" s="74">
        <f>IFERROR(HistoricalsFS!F41/HistoricalsFS!E41-1,0)</f>
        <v>0.20690233672858005</v>
      </c>
      <c r="G9" s="74">
        <f>IFERROR(HistoricalsFS!G41/HistoricalsFS!F41-1,0)</f>
        <v>0.14285714285714279</v>
      </c>
      <c r="H9" s="74">
        <f>IFERROR(HistoricalsFS!H41/HistoricalsFS!G41-1,0)</f>
        <v>0.4874982624409232</v>
      </c>
      <c r="I9" s="74">
        <f>IFERROR(HistoricalsFS!I41/HistoricalsFS!H41-1,0)</f>
        <v>7.2831552941588606E-2</v>
      </c>
      <c r="J9" s="74">
        <f>IFERROR(HistoricalsFS!J41/HistoricalsFS!I41-1,0)</f>
        <v>0.33942521789783719</v>
      </c>
      <c r="K9" s="74">
        <f>IFERROR(HistoricalsFS!K41/HistoricalsFS!J41-1,0)</f>
        <v>0.2982461844859472</v>
      </c>
      <c r="L9" s="74">
        <f>IFERROR(HistoricalsFS!L41/HistoricalsFS!K41-1,0)</f>
        <v>-0.25525493560081891</v>
      </c>
      <c r="M9" s="74"/>
      <c r="N9" s="81">
        <f t="shared" si="0"/>
        <v>0.16783304233747329</v>
      </c>
      <c r="O9" s="81">
        <f t="shared" si="1"/>
        <v>0.20690233672858005</v>
      </c>
    </row>
    <row r="10" spans="2:15" x14ac:dyDescent="0.3">
      <c r="C10" s="30"/>
      <c r="D10" s="30"/>
      <c r="E10" s="30"/>
      <c r="F10" s="30"/>
      <c r="G10" s="30"/>
      <c r="H10" s="30"/>
      <c r="I10" s="30"/>
      <c r="J10" s="30"/>
    </row>
    <row r="11" spans="2:15" x14ac:dyDescent="0.3">
      <c r="B11" s="68" t="s">
        <v>64</v>
      </c>
      <c r="C11" s="71">
        <f>IFERROR(HistoricalsFS!C13,0)</f>
        <v>0.34037441080083447</v>
      </c>
      <c r="D11" s="71">
        <f>IFERROR(HistoricalsFS!D13,0)</f>
        <v>0.35382642001488518</v>
      </c>
      <c r="E11" s="71">
        <f>IFERROR(HistoricalsFS!E13,0)</f>
        <v>0.33465263558312119</v>
      </c>
      <c r="F11" s="71">
        <f>IFERROR(HistoricalsFS!F13,0)</f>
        <v>0.3292243867375117</v>
      </c>
      <c r="G11" s="71">
        <f>IFERROR(HistoricalsFS!G13,0)</f>
        <v>0.34897544684272364</v>
      </c>
      <c r="H11" s="71">
        <f>IFERROR(HistoricalsFS!H13,0)</f>
        <v>0.35360356729835285</v>
      </c>
      <c r="I11" s="71">
        <f>IFERROR(HistoricalsFS!I13,0)</f>
        <v>0.29245139732685294</v>
      </c>
      <c r="J11" s="71">
        <f>IFERROR(HistoricalsFS!J13,0)</f>
        <v>0.31088223670495074</v>
      </c>
      <c r="K11" s="71">
        <f>IFERROR(HistoricalsFS!K13,0)</f>
        <v>0.35173503221464147</v>
      </c>
      <c r="L11" s="71">
        <f>IFERROR(HistoricalsFS!L13,0)</f>
        <v>0.32927727025785108</v>
      </c>
      <c r="M11" s="71"/>
      <c r="N11" s="80">
        <f>AVERAGE(C11:L11)</f>
        <v>0.33450028037817253</v>
      </c>
      <c r="O11" s="80">
        <f>MEDIAN(C11:L11)</f>
        <v>0.3375135231919778</v>
      </c>
    </row>
    <row r="12" spans="2:15" x14ac:dyDescent="0.3">
      <c r="B12" t="s">
        <v>86</v>
      </c>
      <c r="C12" s="30">
        <f>IFERROR(HistoricalsFS!C19,0)</f>
        <v>0.19094292186730338</v>
      </c>
      <c r="D12" s="30">
        <f>IFERROR(HistoricalsFS!D19,0)</f>
        <v>0.19876258050895004</v>
      </c>
      <c r="E12" s="30">
        <f>IFERROR(HistoricalsFS!E19,0)</f>
        <v>0.19043659414367703</v>
      </c>
      <c r="F12" s="30">
        <f>IFERROR(HistoricalsFS!F19,0)</f>
        <v>0.19568163000977651</v>
      </c>
      <c r="G12" s="30">
        <f>IFERROR(HistoricalsFS!G19,0)</f>
        <v>0.2059135382522109</v>
      </c>
      <c r="H12" s="30">
        <f>IFERROR(HistoricalsFS!H19,0)</f>
        <v>0.22362856178317034</v>
      </c>
      <c r="I12" s="30">
        <f>IFERROR(HistoricalsFS!I19,0)</f>
        <v>0.16506524798909186</v>
      </c>
      <c r="J12" s="30">
        <f>IFERROR(HistoricalsFS!J19,0)</f>
        <v>0.1815046657459756</v>
      </c>
      <c r="K12" s="30">
        <f>IFERROR(HistoricalsFS!K19,0)</f>
        <v>0.21369313134654075</v>
      </c>
      <c r="L12" s="30">
        <f>IFERROR(HistoricalsFS!L19,0)</f>
        <v>0.17714496888716388</v>
      </c>
      <c r="M12" s="30"/>
      <c r="N12" s="4">
        <f t="shared" ref="N12:N15" si="2">AVERAGE(C12:L12)</f>
        <v>0.19427738405338602</v>
      </c>
      <c r="O12" s="4">
        <f t="shared" ref="O12:O31" si="3">MEDIAN(C12:L12)</f>
        <v>0.19331227593853995</v>
      </c>
    </row>
    <row r="13" spans="2:15" x14ac:dyDescent="0.3">
      <c r="B13" t="s">
        <v>87</v>
      </c>
      <c r="C13" s="30">
        <f>IFERROR((HistoricalsFS!C18-HistoricalsFS!C24)/HistoricalsFS!C6,0)</f>
        <v>0.17163309507276406</v>
      </c>
      <c r="D13" s="30">
        <f>IFERROR((HistoricalsFS!D18-HistoricalsFS!D24)/HistoricalsFS!D6,0)</f>
        <v>0.17653510591893901</v>
      </c>
      <c r="E13" s="30">
        <f>IFERROR((HistoricalsFS!E18-HistoricalsFS!E24)/HistoricalsFS!E6,0)</f>
        <v>0.16901135543001156</v>
      </c>
      <c r="F13" s="30">
        <f>IFERROR((HistoricalsFS!F18-HistoricalsFS!F24)/HistoricalsFS!F6,0)</f>
        <v>0.16334608965739844</v>
      </c>
      <c r="G13" s="30">
        <f>IFERROR((HistoricalsFS!G18-HistoricalsFS!G24)/HistoricalsFS!G6,0)</f>
        <v>0.16729643144288442</v>
      </c>
      <c r="H13" s="30">
        <f>IFERROR((HistoricalsFS!H18-HistoricalsFS!H24)/HistoricalsFS!H6,0)</f>
        <v>0.18718598577152007</v>
      </c>
      <c r="I13" s="30">
        <f>IFERROR((HistoricalsFS!I18-HistoricalsFS!I24)/HistoricalsFS!I6,0)</f>
        <v>0.13701287366053996</v>
      </c>
      <c r="J13" s="30">
        <f>IFERROR((HistoricalsFS!J18-HistoricalsFS!J24)/HistoricalsFS!J6,0)</f>
        <v>0.15662629292760291</v>
      </c>
      <c r="K13" s="30">
        <f>IFERROR((HistoricalsFS!K18-HistoricalsFS!K24)/HistoricalsFS!K6,0)</f>
        <v>0.18966139480424279</v>
      </c>
      <c r="L13" s="30">
        <f>IFERROR((HistoricalsFS!L18-HistoricalsFS!L24)/HistoricalsFS!L6,0)</f>
        <v>0.14687447095791203</v>
      </c>
      <c r="M13" s="30"/>
      <c r="N13" s="4">
        <f t="shared" si="2"/>
        <v>0.16651830956438154</v>
      </c>
      <c r="O13" s="4">
        <f t="shared" si="3"/>
        <v>0.16815389343644799</v>
      </c>
    </row>
    <row r="14" spans="2:15" x14ac:dyDescent="0.3">
      <c r="B14" t="s">
        <v>88</v>
      </c>
      <c r="C14" s="30">
        <f>IFERROR(HistoricalsFS!C28,0)</f>
        <v>0.16819967641780931</v>
      </c>
      <c r="D14" s="30">
        <f>IFERROR(HistoricalsFS!D28,0)</f>
        <v>0.17405668175320793</v>
      </c>
      <c r="E14" s="30">
        <f>IFERROR(HistoricalsFS!E28,0)</f>
        <v>0.16654650495852794</v>
      </c>
      <c r="F14" s="30">
        <f>IFERROR(HistoricalsFS!F28,0)</f>
        <v>0.15760444446061442</v>
      </c>
      <c r="G14" s="30">
        <f>IFERROR(HistoricalsFS!G28,0)</f>
        <v>0.16223340961098387</v>
      </c>
      <c r="H14" s="30">
        <f>IFERROR(HistoricalsFS!H28,0)</f>
        <v>0.18296589245325004</v>
      </c>
      <c r="I14" s="30">
        <f>IFERROR(HistoricalsFS!I28,0)</f>
        <v>0.13373432371359606</v>
      </c>
      <c r="J14" s="30">
        <f>IFERROR(HistoricalsFS!J28,0)</f>
        <v>0.15243795121806938</v>
      </c>
      <c r="K14" s="30">
        <f>IFERROR(HistoricalsFS!K28,0)</f>
        <v>0.18388110009570438</v>
      </c>
      <c r="L14" s="30">
        <f>IFERROR(HistoricalsFS!L28,0)</f>
        <v>0.14017882581117827</v>
      </c>
      <c r="M14" s="30"/>
      <c r="N14" s="4">
        <f t="shared" si="2"/>
        <v>0.16218388104929415</v>
      </c>
      <c r="O14" s="4">
        <f t="shared" si="3"/>
        <v>0.16438995728475592</v>
      </c>
    </row>
    <row r="15" spans="2:15" x14ac:dyDescent="0.3">
      <c r="B15" s="72" t="s">
        <v>80</v>
      </c>
      <c r="C15" s="74">
        <f>IFERROR(HistoricalsFS!C34,0)</f>
        <v>0.1388719748253337</v>
      </c>
      <c r="D15" s="74">
        <f>IFERROR(HistoricalsFS!D34,0)</f>
        <v>0.14135051211692481</v>
      </c>
      <c r="E15" s="74">
        <f>IFERROR(HistoricalsFS!E34,0)</f>
        <v>0.14581548986451354</v>
      </c>
      <c r="F15" s="74">
        <f>IFERROR(HistoricalsFS!F34,0)</f>
        <v>0.13593982992838413</v>
      </c>
      <c r="G15" s="74">
        <f>IFERROR(HistoricalsFS!G34,0)</f>
        <v>0.14910309852186271</v>
      </c>
      <c r="H15" s="74">
        <f>IFERROR(HistoricalsFS!H34,0)</f>
        <v>0.16501656396989989</v>
      </c>
      <c r="I15" s="74">
        <f>IFERROR(HistoricalsFS!I34,0)</f>
        <v>0.1226894487115343</v>
      </c>
      <c r="J15" s="74">
        <f>IFERROR(HistoricalsFS!J34,0)</f>
        <v>0.14108173166835744</v>
      </c>
      <c r="K15" s="74">
        <f>IFERROR(HistoricalsFS!K34,0)</f>
        <v>0.17336432760581644</v>
      </c>
      <c r="L15" s="74">
        <f>IFERROR(HistoricalsFS!L34,0)</f>
        <v>0.12793395313225364</v>
      </c>
      <c r="M15" s="74"/>
      <c r="N15" s="81">
        <f t="shared" si="2"/>
        <v>0.14411669303448807</v>
      </c>
      <c r="O15" s="81">
        <f t="shared" si="3"/>
        <v>0.14121612189264113</v>
      </c>
    </row>
    <row r="16" spans="2:15" x14ac:dyDescent="0.3">
      <c r="C16" s="30"/>
      <c r="D16" s="30"/>
      <c r="E16" s="30"/>
      <c r="F16" s="30"/>
      <c r="G16" s="30"/>
      <c r="H16" s="30"/>
      <c r="I16" s="30"/>
      <c r="J16" s="30"/>
      <c r="L16" s="30"/>
      <c r="M16" s="30"/>
    </row>
    <row r="17" spans="1:15" x14ac:dyDescent="0.3">
      <c r="B17" s="68" t="s">
        <v>81</v>
      </c>
      <c r="C17" s="71">
        <f>IFERROR(HistoricalsFS!C16,0)</f>
        <v>0.14943148893353111</v>
      </c>
      <c r="D17" s="71">
        <f>IFERROR(HistoricalsFS!D16,0)</f>
        <v>0.15506383950593511</v>
      </c>
      <c r="E17" s="71">
        <f>IFERROR(HistoricalsFS!E16,0)</f>
        <v>0.14421604143944414</v>
      </c>
      <c r="F17" s="71">
        <f>IFERROR(HistoricalsFS!F16,0)</f>
        <v>0.13354275672773522</v>
      </c>
      <c r="G17" s="71">
        <f>IFERROR(HistoricalsFS!G16,0)</f>
        <v>0.14306190859051271</v>
      </c>
      <c r="H17" s="71">
        <f>IFERROR(HistoricalsFS!H16,0)</f>
        <v>0.12997500551518251</v>
      </c>
      <c r="I17" s="71">
        <f>IFERROR(HistoricalsFS!I16,0)</f>
        <v>0.1273861493377611</v>
      </c>
      <c r="J17" s="71">
        <f>IFERROR(HistoricalsFS!J16,0)</f>
        <v>0.12937757095897515</v>
      </c>
      <c r="K17" s="71">
        <f>IFERROR(HistoricalsFS!K16,0)</f>
        <v>0.1380419008681007</v>
      </c>
      <c r="L17" s="71">
        <f>IFERROR(HistoricalsFS!L16,0)</f>
        <v>0.15213230137068723</v>
      </c>
      <c r="M17" s="71"/>
      <c r="N17" s="71">
        <f>AVERAGE(C17:L17)</f>
        <v>0.14022289632478649</v>
      </c>
      <c r="O17" s="80">
        <f t="shared" si="3"/>
        <v>0.1405519047293067</v>
      </c>
    </row>
    <row r="18" spans="1:15" x14ac:dyDescent="0.3">
      <c r="B18" t="s">
        <v>82</v>
      </c>
      <c r="C18" s="30">
        <f>IFERROR(HistoricalsFS!C25,0)</f>
        <v>1.9309826794539322E-2</v>
      </c>
      <c r="D18" s="30">
        <f>IFERROR(HistoricalsFS!D25,0)</f>
        <v>2.2227474590011016E-2</v>
      </c>
      <c r="E18" s="30">
        <f>IFERROR(HistoricalsFS!E25,0)</f>
        <v>2.1425238713665449E-2</v>
      </c>
      <c r="F18" s="30">
        <f>IFERROR(HistoricalsFS!F25,0)</f>
        <v>3.2335540352378074E-2</v>
      </c>
      <c r="G18" s="30">
        <f>IFERROR(HistoricalsFS!G25,0)</f>
        <v>3.8617106809326486E-2</v>
      </c>
      <c r="H18" s="30">
        <f>IFERROR(HistoricalsFS!H25,0)</f>
        <v>3.6442576011650275E-2</v>
      </c>
      <c r="I18" s="30">
        <f>IFERROR(HistoricalsFS!I25,0)</f>
        <v>2.8052374328551871E-2</v>
      </c>
      <c r="J18" s="30">
        <f>IFERROR(HistoricalsFS!J25,0)</f>
        <v>2.4878372818372688E-2</v>
      </c>
      <c r="K18" s="30">
        <f>IFERROR(HistoricalsFS!K25,0)</f>
        <v>2.4031736542297968E-2</v>
      </c>
      <c r="L18" s="30">
        <f>IFERROR(HistoricalsFS!L25,0)</f>
        <v>3.0270497929251843E-2</v>
      </c>
      <c r="M18" s="30"/>
      <c r="N18" s="30">
        <f t="shared" ref="N18:N19" si="4">AVERAGE(C18:L18)</f>
        <v>2.7759074489004498E-2</v>
      </c>
      <c r="O18" s="4">
        <f t="shared" si="3"/>
        <v>2.6465373573462278E-2</v>
      </c>
    </row>
    <row r="19" spans="1:15" x14ac:dyDescent="0.3">
      <c r="B19" s="72" t="s">
        <v>83</v>
      </c>
      <c r="C19" s="74">
        <f t="shared" ref="C19:L19" si="5">C13</f>
        <v>0.17163309507276406</v>
      </c>
      <c r="D19" s="74">
        <f t="shared" si="5"/>
        <v>0.17653510591893901</v>
      </c>
      <c r="E19" s="74">
        <f t="shared" si="5"/>
        <v>0.16901135543001156</v>
      </c>
      <c r="F19" s="74">
        <f t="shared" si="5"/>
        <v>0.16334608965739844</v>
      </c>
      <c r="G19" s="74">
        <f t="shared" si="5"/>
        <v>0.16729643144288442</v>
      </c>
      <c r="H19" s="74">
        <f t="shared" si="5"/>
        <v>0.18718598577152007</v>
      </c>
      <c r="I19" s="74">
        <f t="shared" si="5"/>
        <v>0.13701287366053996</v>
      </c>
      <c r="J19" s="74">
        <f t="shared" si="5"/>
        <v>0.15662629292760291</v>
      </c>
      <c r="K19" s="74">
        <f t="shared" si="5"/>
        <v>0.18966139480424279</v>
      </c>
      <c r="L19" s="74">
        <f t="shared" si="5"/>
        <v>0.14687447095791203</v>
      </c>
      <c r="M19" s="74"/>
      <c r="N19" s="74">
        <f t="shared" si="4"/>
        <v>0.16651830956438154</v>
      </c>
      <c r="O19" s="81">
        <f t="shared" si="3"/>
        <v>0.16815389343644799</v>
      </c>
    </row>
    <row r="20" spans="1:15" x14ac:dyDescent="0.3">
      <c r="C20" s="30"/>
      <c r="D20" s="30"/>
      <c r="E20" s="30"/>
      <c r="F20" s="30"/>
      <c r="G20" s="30"/>
      <c r="H20" s="30"/>
      <c r="I20" s="30"/>
      <c r="J20" s="30"/>
      <c r="L20" s="30"/>
      <c r="M20" s="30"/>
    </row>
    <row r="21" spans="1:15" x14ac:dyDescent="0.3">
      <c r="B21" s="68" t="s">
        <v>89</v>
      </c>
      <c r="C21" s="71">
        <f>IFERROR((HistoricalsFS!C18-HistoricalsFS!C24)/SUM(HistoricalsFS!C48:C50),0)</f>
        <v>0.35768409093896003</v>
      </c>
      <c r="D21" s="71">
        <f>IFERROR((HistoricalsFS!D18-HistoricalsFS!D24)/SUM(HistoricalsFS!D48:D50),0)</f>
        <v>0.32568533713528403</v>
      </c>
      <c r="E21" s="71">
        <f>IFERROR((HistoricalsFS!E18-HistoricalsFS!E24)/SUM(HistoricalsFS!E48:E50),0)</f>
        <v>0.31793918820706524</v>
      </c>
      <c r="F21" s="71">
        <f>IFERROR((HistoricalsFS!F18-HistoricalsFS!F24)/SUM(HistoricalsFS!F48:F50),0)</f>
        <v>0.29126564505590763</v>
      </c>
      <c r="G21" s="71">
        <f>IFERROR((HistoricalsFS!G18-HistoricalsFS!G24)/SUM(HistoricalsFS!G48:G50),0)</f>
        <v>0.3005931373159112</v>
      </c>
      <c r="H21" s="71">
        <f>IFERROR((HistoricalsFS!H18-HistoricalsFS!H24)/SUM(HistoricalsFS!H48:H50),0)</f>
        <v>0.29241025338485616</v>
      </c>
      <c r="I21" s="71">
        <f>IFERROR((HistoricalsFS!I18-HistoricalsFS!I24)/SUM(HistoricalsFS!I48:I50),0)</f>
        <v>0.2589385678029722</v>
      </c>
      <c r="J21" s="71">
        <f>IFERROR((HistoricalsFS!J18-HistoricalsFS!J24)/SUM(HistoricalsFS!J48:J50),0)</f>
        <v>0.30135928613070662</v>
      </c>
      <c r="K21" s="71">
        <f>IFERROR((HistoricalsFS!K18-HistoricalsFS!K24)/SUM(HistoricalsFS!K48:K50),0)</f>
        <v>0.31750608885291864</v>
      </c>
      <c r="L21" s="71">
        <f>IFERROR((HistoricalsFS!L18-HistoricalsFS!L24)/SUM(HistoricalsFS!L48:L50),0)</f>
        <v>0.22959184143918202</v>
      </c>
      <c r="M21" s="71"/>
      <c r="N21" s="71">
        <f t="shared" ref="N21:N25" si="6">AVERAGE(C21:L21)</f>
        <v>0.29929734362637644</v>
      </c>
      <c r="O21" s="80">
        <f t="shared" si="3"/>
        <v>0.30097621172330891</v>
      </c>
    </row>
    <row r="22" spans="1:15" x14ac:dyDescent="0.3">
      <c r="B22" t="s">
        <v>84</v>
      </c>
      <c r="C22" s="30">
        <f>IFERROR(HistoricalsFS!C44,0)</f>
        <v>0</v>
      </c>
      <c r="D22" s="30">
        <f>IFERROR(HistoricalsFS!D44,0)</f>
        <v>0</v>
      </c>
      <c r="E22" s="30">
        <f>IFERROR(HistoricalsFS!E44,0)</f>
        <v>0</v>
      </c>
      <c r="F22" s="30">
        <f>IFERROR(HistoricalsFS!F44,0)</f>
        <v>0</v>
      </c>
      <c r="G22" s="30">
        <f>IFERROR(HistoricalsFS!G44,0)</f>
        <v>0</v>
      </c>
      <c r="H22" s="30">
        <f>IFERROR(HistoricalsFS!H44,0)</f>
        <v>0</v>
      </c>
      <c r="I22" s="30">
        <f>IFERROR(HistoricalsFS!I44,0)</f>
        <v>0</v>
      </c>
      <c r="J22" s="30">
        <f>IFERROR(HistoricalsFS!J44,0)</f>
        <v>0</v>
      </c>
      <c r="K22" s="30">
        <f>IFERROR(HistoricalsFS!K44,0)</f>
        <v>0</v>
      </c>
      <c r="L22" s="30">
        <f>IFERROR(HistoricalsFS!L44,0)</f>
        <v>0</v>
      </c>
      <c r="M22" s="30"/>
      <c r="N22" s="30">
        <f t="shared" si="6"/>
        <v>0</v>
      </c>
      <c r="O22" s="4">
        <f t="shared" si="3"/>
        <v>0</v>
      </c>
    </row>
    <row r="23" spans="1:15" x14ac:dyDescent="0.3">
      <c r="B23" t="s">
        <v>125</v>
      </c>
      <c r="C23" s="30">
        <f>IFERROR(HistoricalsFS!C33/SUM(HistoricalsFS!C48:C49),0)</f>
        <v>0.30374937546169878</v>
      </c>
      <c r="D23" s="30">
        <f>IFERROR(HistoricalsFS!D33/SUM(HistoricalsFS!D48:D49),0)</f>
        <v>0.279990899394915</v>
      </c>
      <c r="E23" s="30">
        <f>IFERROR(HistoricalsFS!E33/SUM(HistoricalsFS!E48:E49),0)</f>
        <v>0.29170189162484272</v>
      </c>
      <c r="F23" s="30">
        <f>IFERROR(HistoricalsFS!F33/SUM(HistoricalsFS!F48:F49),0)</f>
        <v>0.27617192243322736</v>
      </c>
      <c r="G23" s="30">
        <f>IFERROR(HistoricalsFS!G33/SUM(HistoricalsFS!G48:G49),0)</f>
        <v>0.29748394892084606</v>
      </c>
      <c r="H23" s="30">
        <f>IFERROR(HistoricalsFS!H33/SUM(HistoricalsFS!H48:H49),0)</f>
        <v>0.27978204460464373</v>
      </c>
      <c r="I23" s="30">
        <f>IFERROR(HistoricalsFS!I33/SUM(HistoricalsFS!I48:I49),0)</f>
        <v>0.25850953838668467</v>
      </c>
      <c r="J23" s="30">
        <f>IFERROR(HistoricalsFS!J33/SUM(HistoricalsFS!J48:J49),0)</f>
        <v>0.30425462865403985</v>
      </c>
      <c r="K23" s="30">
        <f>IFERROR(HistoricalsFS!K33/SUM(HistoricalsFS!K48:K49),0)</f>
        <v>0.32856799602740244</v>
      </c>
      <c r="L23" s="30">
        <f>IFERROR(HistoricalsFS!L33/SUM(HistoricalsFS!L48:L49),0)</f>
        <v>0.22359394241490008</v>
      </c>
      <c r="M23" s="30"/>
      <c r="N23" s="30">
        <f t="shared" si="6"/>
        <v>0.28438061879232007</v>
      </c>
      <c r="O23" s="4">
        <f t="shared" si="3"/>
        <v>0.28584639550987889</v>
      </c>
    </row>
    <row r="24" spans="1:15" x14ac:dyDescent="0.3">
      <c r="B24" t="s">
        <v>85</v>
      </c>
      <c r="C24" s="30">
        <f>C23*C22</f>
        <v>0</v>
      </c>
      <c r="D24" s="30">
        <f t="shared" ref="D24:L24" si="7">D23*D22</f>
        <v>0</v>
      </c>
      <c r="E24" s="30">
        <f t="shared" si="7"/>
        <v>0</v>
      </c>
      <c r="F24" s="30">
        <f t="shared" si="7"/>
        <v>0</v>
      </c>
      <c r="G24" s="30">
        <f t="shared" si="7"/>
        <v>0</v>
      </c>
      <c r="H24" s="30">
        <f t="shared" si="7"/>
        <v>0</v>
      </c>
      <c r="I24" s="30">
        <f t="shared" si="7"/>
        <v>0</v>
      </c>
      <c r="J24" s="30">
        <f t="shared" si="7"/>
        <v>0</v>
      </c>
      <c r="K24" s="30">
        <f t="shared" si="7"/>
        <v>0</v>
      </c>
      <c r="L24" s="30">
        <f t="shared" si="7"/>
        <v>0</v>
      </c>
      <c r="M24" s="30"/>
      <c r="N24" s="30">
        <f t="shared" si="6"/>
        <v>0</v>
      </c>
      <c r="O24" s="4">
        <f t="shared" si="3"/>
        <v>0</v>
      </c>
    </row>
    <row r="25" spans="1:15" x14ac:dyDescent="0.3">
      <c r="B25" s="72" t="s">
        <v>94</v>
      </c>
      <c r="C25" s="75">
        <f>IFERROR((HistoricalsFS!C18-HistoricalsFS!C240)/HistoricalsFS!C21,0)</f>
        <v>55.613061224489826</v>
      </c>
      <c r="D25" s="75">
        <f>IFERROR((HistoricalsFS!D18-HistoricalsFS!D240)/HistoricalsFS!D21,0)</f>
        <v>80.197160460755441</v>
      </c>
      <c r="E25" s="75">
        <f>IFERROR((HistoricalsFS!E18-HistoricalsFS!E240)/HistoricalsFS!E21,0)</f>
        <v>77.260911502290838</v>
      </c>
      <c r="F25" s="75">
        <f>IFERROR((HistoricalsFS!F18-HistoricalsFS!F240)/HistoricalsFS!F21,0)</f>
        <v>34.08110799312032</v>
      </c>
      <c r="G25" s="75">
        <f>IFERROR((HistoricalsFS!G18-HistoricalsFS!G240)/HistoricalsFS!G21,0)</f>
        <v>40.67008697351703</v>
      </c>
      <c r="H25" s="75">
        <f>IFERROR((HistoricalsFS!H18-HistoricalsFS!H240)/HistoricalsFS!H21,0)</f>
        <v>52.991378369529663</v>
      </c>
      <c r="I25" s="75">
        <f>IFERROR((HistoricalsFS!I18-HistoricalsFS!I240)/HistoricalsFS!I21,0)</f>
        <v>50.34702861335289</v>
      </c>
      <c r="J25" s="75">
        <f>IFERROR((HistoricalsFS!J18-HistoricalsFS!J240)/HistoricalsFS!J21,0)</f>
        <v>43.335687088958089</v>
      </c>
      <c r="K25" s="75">
        <f>IFERROR((HistoricalsFS!K18-HistoricalsFS!K240)/HistoricalsFS!K21,0)</f>
        <v>36.969245016327932</v>
      </c>
      <c r="L25" s="75">
        <f>IFERROR((HistoricalsFS!L18-HistoricalsFS!L240)/HistoricalsFS!L21,0)</f>
        <v>26.456743899215937</v>
      </c>
      <c r="M25" s="74"/>
      <c r="N25" s="75">
        <f t="shared" si="6"/>
        <v>49.7922411141558</v>
      </c>
      <c r="O25" s="75">
        <f t="shared" si="3"/>
        <v>46.841357851155493</v>
      </c>
    </row>
    <row r="26" spans="1:15" x14ac:dyDescent="0.3">
      <c r="C26" s="31"/>
      <c r="D26" s="31"/>
      <c r="E26" s="31"/>
      <c r="F26" s="31"/>
      <c r="G26" s="31"/>
      <c r="H26" s="31"/>
      <c r="I26" s="31"/>
      <c r="J26" s="31"/>
      <c r="L26" s="31"/>
      <c r="M26" s="31"/>
    </row>
    <row r="27" spans="1:15" x14ac:dyDescent="0.3">
      <c r="A27" s="68"/>
      <c r="B27" s="68" t="s">
        <v>98</v>
      </c>
      <c r="C27" s="76">
        <f>IFERROR(HistoricalsFS!C6/HistoricalsFS!C60,0)</f>
        <v>12.024780088301709</v>
      </c>
      <c r="D27" s="76">
        <f>IFERROR(HistoricalsFS!D6/HistoricalsFS!D60,0)</f>
        <v>10.41199364025992</v>
      </c>
      <c r="E27" s="76">
        <f>IFERROR(HistoricalsFS!E6/HistoricalsFS!E60,0)</f>
        <v>9.7216331624899599</v>
      </c>
      <c r="F27" s="76">
        <f>IFERROR(HistoricalsFS!F6/HistoricalsFS!F60,0)</f>
        <v>10.08746782150965</v>
      </c>
      <c r="G27" s="76">
        <f>IFERROR(HistoricalsFS!G6/HistoricalsFS!G60,0)</f>
        <v>11.258369447755706</v>
      </c>
      <c r="H27" s="76">
        <f>IFERROR(HistoricalsFS!H6/HistoricalsFS!H60,0)</f>
        <v>8.3441089552181449</v>
      </c>
      <c r="I27" s="76">
        <f>IFERROR(HistoricalsFS!I6/HistoricalsFS!I60,0)</f>
        <v>7.5169136032070751</v>
      </c>
      <c r="J27" s="76">
        <f>IFERROR(HistoricalsFS!J6/HistoricalsFS!J60,0)</f>
        <v>7.4377908707035241</v>
      </c>
      <c r="K27" s="76">
        <f>IFERROR(HistoricalsFS!K6/HistoricalsFS!K60,0)</f>
        <v>7.2600464302880932</v>
      </c>
      <c r="L27" s="76">
        <f>IFERROR(HistoricalsFS!L6/HistoricalsFS!L60,0)</f>
        <v>7.8600767331610131</v>
      </c>
      <c r="M27" s="71"/>
      <c r="N27" s="76">
        <f>AVERAGE(C27:L27)</f>
        <v>9.1923180752894798</v>
      </c>
      <c r="O27" s="76">
        <f t="shared" si="3"/>
        <v>9.0328710588540524</v>
      </c>
    </row>
    <row r="28" spans="1:15" x14ac:dyDescent="0.3">
      <c r="B28" t="s">
        <v>122</v>
      </c>
      <c r="C28" s="31">
        <f>IFERROR(HistoricalsFS!C6/HistoricalsFS!C51,0)</f>
        <v>3.8458091254998759</v>
      </c>
      <c r="D28" s="31">
        <f>IFERROR(HistoricalsFS!D6/HistoricalsFS!D51,0)</f>
        <v>3.5515520070927336</v>
      </c>
      <c r="E28" s="31">
        <f>IFERROR(HistoricalsFS!E6/HistoricalsFS!E51,0)</f>
        <v>3.4907008975438916</v>
      </c>
      <c r="F28" s="31">
        <f>IFERROR(HistoricalsFS!F6/HistoricalsFS!F51,0)</f>
        <v>3.5246789980746303</v>
      </c>
      <c r="G28" s="31">
        <f>IFERROR(HistoricalsFS!G6/HistoricalsFS!G51,0)</f>
        <v>4.1337632508472559</v>
      </c>
      <c r="H28" s="31">
        <f>IFERROR(HistoricalsFS!H6/HistoricalsFS!H51,0)</f>
        <v>3.3632319433451108</v>
      </c>
      <c r="I28" s="31">
        <f>IFERROR(HistoricalsFS!I6/HistoricalsFS!I51,0)</f>
        <v>3.8493807531491444</v>
      </c>
      <c r="J28" s="31">
        <f>IFERROR(HistoricalsFS!J6/HistoricalsFS!J51,0)</f>
        <v>4.3909450402827428</v>
      </c>
      <c r="K28" s="31">
        <f>IFERROR(HistoricalsFS!K6/HistoricalsFS!K51,0)</f>
        <v>4.0807499117622381</v>
      </c>
      <c r="L28" s="31">
        <f>IFERROR(HistoricalsFS!L6/HistoricalsFS!L51,0)</f>
        <v>3.9128716756201571</v>
      </c>
      <c r="M28" s="30"/>
      <c r="N28" s="31">
        <f t="shared" ref="N28:N31" si="8">AVERAGE(C28:L28)</f>
        <v>3.8143683603217786</v>
      </c>
      <c r="O28" s="31">
        <f t="shared" si="3"/>
        <v>3.8475949393245101</v>
      </c>
    </row>
    <row r="29" spans="1:15" x14ac:dyDescent="0.3">
      <c r="B29" t="s">
        <v>99</v>
      </c>
      <c r="C29" s="31">
        <f>IFERROR(HistoricalsFS!C6/HistoricalsFS!C61,0)</f>
        <v>7.142029986388021</v>
      </c>
      <c r="D29" s="31">
        <f>IFERROR(HistoricalsFS!D6/HistoricalsFS!D61,0)</f>
        <v>5.7336635020213631</v>
      </c>
      <c r="E29" s="31">
        <f>IFERROR(HistoricalsFS!E6/HistoricalsFS!E61,0)</f>
        <v>6.3290398787199385</v>
      </c>
      <c r="F29" s="31">
        <f>IFERROR(HistoricalsFS!F6/HistoricalsFS!F61,0)</f>
        <v>6.1082492555224679</v>
      </c>
      <c r="G29" s="31">
        <f>IFERROR(HistoricalsFS!G6/HistoricalsFS!G61,0)</f>
        <v>5.9623548222466747</v>
      </c>
      <c r="H29" s="31">
        <f>IFERROR(HistoricalsFS!H6/HistoricalsFS!H61,0)</f>
        <v>5.7159979992628864</v>
      </c>
      <c r="I29" s="31">
        <f>IFERROR(HistoricalsFS!I6/HistoricalsFS!I61,0)</f>
        <v>4.7296236945350056</v>
      </c>
      <c r="J29" s="31">
        <f>IFERROR(HistoricalsFS!J6/HistoricalsFS!J61,0)</f>
        <v>5.5531458915667296</v>
      </c>
      <c r="K29" s="31">
        <f>IFERROR(HistoricalsFS!K6/HistoricalsFS!K61,0)</f>
        <v>5.9922797847861293</v>
      </c>
      <c r="L29" s="31">
        <f>IFERROR(HistoricalsFS!L6/HistoricalsFS!L61,0)</f>
        <v>5.0460273214203326</v>
      </c>
      <c r="M29" s="30"/>
      <c r="N29" s="31">
        <f t="shared" si="8"/>
        <v>5.8312412136469547</v>
      </c>
      <c r="O29" s="31">
        <f t="shared" si="3"/>
        <v>5.8480091621340193</v>
      </c>
    </row>
    <row r="30" spans="1:15" x14ac:dyDescent="0.3">
      <c r="B30" t="s">
        <v>100</v>
      </c>
      <c r="C30" s="31">
        <f>IFERROR(HistoricalsFS!C6/HistoricalsFS!C54,0)</f>
        <v>4.1774086378737545</v>
      </c>
      <c r="D30" s="31">
        <f>IFERROR(HistoricalsFS!D6/HistoricalsFS!D54,0)</f>
        <v>4.5590724451682032</v>
      </c>
      <c r="E30" s="31">
        <f>IFERROR(HistoricalsFS!E6/HistoricalsFS!E54,0)</f>
        <v>4.50789606241828</v>
      </c>
      <c r="F30" s="31">
        <f>IFERROR(HistoricalsFS!F6/HistoricalsFS!F54,0)</f>
        <v>2.9615873631583485</v>
      </c>
      <c r="G30" s="31">
        <f>IFERROR(HistoricalsFS!G6/HistoricalsFS!G54,0)</f>
        <v>3.2222976861794139</v>
      </c>
      <c r="H30" s="31">
        <f>IFERROR(HistoricalsFS!H6/HistoricalsFS!H54,0)</f>
        <v>3.7061903006220001</v>
      </c>
      <c r="I30" s="31">
        <f>IFERROR(HistoricalsFS!I6/HistoricalsFS!I54,0)</f>
        <v>5.2728689305787571</v>
      </c>
      <c r="J30" s="31">
        <f>IFERROR(HistoricalsFS!J6/HistoricalsFS!J54,0)</f>
        <v>5.9767488207179316</v>
      </c>
      <c r="K30" s="31">
        <f>IFERROR(HistoricalsFS!K6/HistoricalsFS!K54,0)</f>
        <v>4.9666457710078333</v>
      </c>
      <c r="L30" s="31">
        <f>IFERROR(HistoricalsFS!L6/HistoricalsFS!L54,0)</f>
        <v>3.6773592477305019</v>
      </c>
      <c r="M30" s="30"/>
      <c r="N30" s="31">
        <f t="shared" si="8"/>
        <v>4.3028075265455019</v>
      </c>
      <c r="O30" s="31">
        <f t="shared" si="3"/>
        <v>4.3426523501460172</v>
      </c>
    </row>
    <row r="31" spans="1:15" x14ac:dyDescent="0.3">
      <c r="A31" s="72"/>
      <c r="B31" s="72" t="s">
        <v>101</v>
      </c>
      <c r="C31" s="77">
        <f>IFERROR(HistoricalsFS!C6/SUM(HistoricalsFS!C48:C49),0)</f>
        <v>2.1872618708255556</v>
      </c>
      <c r="D31" s="77">
        <f>IFERROR(HistoricalsFS!D6/SUM(HistoricalsFS!D48:D49),0)</f>
        <v>1.9808269188533763</v>
      </c>
      <c r="E31" s="77">
        <f>IFERROR(HistoricalsFS!E6/SUM(HistoricalsFS!E48:E49),0)</f>
        <v>2.0004863125027494</v>
      </c>
      <c r="F31" s="77">
        <f>IFERROR(HistoricalsFS!F6/SUM(HistoricalsFS!F48:F49),0)</f>
        <v>2.0315747237488848</v>
      </c>
      <c r="G31" s="77">
        <f>IFERROR(HistoricalsFS!G6/SUM(HistoricalsFS!G48:G49),0)</f>
        <v>1.995156048867935</v>
      </c>
      <c r="H31" s="77">
        <f>IFERROR(HistoricalsFS!H6/SUM(HistoricalsFS!H48:H49),0)</f>
        <v>1.6954785499937921</v>
      </c>
      <c r="I31" s="77">
        <f>IFERROR(HistoricalsFS!I6/SUM(HistoricalsFS!I48:I49),0)</f>
        <v>2.1070233919991659</v>
      </c>
      <c r="J31" s="77">
        <f>IFERROR(HistoricalsFS!J6/SUM(HistoricalsFS!J48:J49),0)</f>
        <v>2.1565841661857039</v>
      </c>
      <c r="K31" s="77">
        <f>IFERROR(HistoricalsFS!K6/SUM(HistoricalsFS!K48:K49),0)</f>
        <v>1.8952456976874572</v>
      </c>
      <c r="L31" s="77">
        <f>IFERROR(HistoricalsFS!L6/SUM(HistoricalsFS!L48:L49),0)</f>
        <v>1.7477294880723062</v>
      </c>
      <c r="M31" s="74"/>
      <c r="N31" s="77">
        <f t="shared" si="8"/>
        <v>1.9797367168736926</v>
      </c>
      <c r="O31" s="77">
        <f t="shared" si="3"/>
        <v>1.9978211806853423</v>
      </c>
    </row>
    <row r="32" spans="1:15" x14ac:dyDescent="0.3">
      <c r="M32" s="31"/>
    </row>
    <row r="33" spans="2:15" x14ac:dyDescent="0.3">
      <c r="L33" s="30"/>
      <c r="M33" s="30"/>
    </row>
    <row r="34" spans="2:15" x14ac:dyDescent="0.3">
      <c r="B34" s="68" t="s">
        <v>31</v>
      </c>
      <c r="C34" s="78">
        <f>365/C27</f>
        <v>30.353985463325834</v>
      </c>
      <c r="D34" s="78">
        <f t="shared" ref="D34:L34" si="9">365/D27</f>
        <v>35.055726368162503</v>
      </c>
      <c r="E34" s="78">
        <f t="shared" si="9"/>
        <v>37.545131964896534</v>
      </c>
      <c r="F34" s="78">
        <f t="shared" si="9"/>
        <v>36.183510714324697</v>
      </c>
      <c r="G34" s="78">
        <f t="shared" si="9"/>
        <v>32.420325313872226</v>
      </c>
      <c r="H34" s="78">
        <f t="shared" si="9"/>
        <v>43.743436472235949</v>
      </c>
      <c r="I34" s="78">
        <f t="shared" si="9"/>
        <v>48.557163121347244</v>
      </c>
      <c r="J34" s="78">
        <f t="shared" si="9"/>
        <v>49.073711044725229</v>
      </c>
      <c r="K34" s="78">
        <f t="shared" si="9"/>
        <v>50.275160566089667</v>
      </c>
      <c r="L34" s="78">
        <f t="shared" si="9"/>
        <v>46.437205690384069</v>
      </c>
      <c r="M34" s="71"/>
      <c r="N34" s="78">
        <f t="shared" ref="N34:N37" si="10">AVERAGE(C34:L34)</f>
        <v>40.964535671936389</v>
      </c>
      <c r="O34" s="78">
        <f t="shared" ref="O34:O41" si="11">MEDIAN(C34:L34)</f>
        <v>40.644284218566241</v>
      </c>
    </row>
    <row r="35" spans="2:15" x14ac:dyDescent="0.3">
      <c r="B35" t="s">
        <v>102</v>
      </c>
      <c r="C35" s="29">
        <f>365/C28</f>
        <v>94.908506399822301</v>
      </c>
      <c r="D35" s="29">
        <f t="shared" ref="D35:L35" si="12">365/D28</f>
        <v>102.77197103437196</v>
      </c>
      <c r="E35" s="29">
        <f t="shared" si="12"/>
        <v>104.56352770207822</v>
      </c>
      <c r="F35" s="29">
        <f t="shared" si="12"/>
        <v>103.55552951045547</v>
      </c>
      <c r="G35" s="29">
        <f t="shared" si="12"/>
        <v>88.297267610860303</v>
      </c>
      <c r="H35" s="29">
        <f t="shared" si="12"/>
        <v>108.52656199410578</v>
      </c>
      <c r="I35" s="29">
        <f t="shared" si="12"/>
        <v>94.820446042235943</v>
      </c>
      <c r="J35" s="29">
        <f t="shared" si="12"/>
        <v>83.125613427513272</v>
      </c>
      <c r="K35" s="29">
        <f t="shared" si="12"/>
        <v>89.444344273079395</v>
      </c>
      <c r="L35" s="29">
        <f t="shared" si="12"/>
        <v>93.281873329554202</v>
      </c>
      <c r="M35" s="30"/>
      <c r="N35" s="29">
        <f t="shared" si="10"/>
        <v>96.329564132407683</v>
      </c>
      <c r="O35" s="29">
        <f t="shared" si="11"/>
        <v>94.864476221029122</v>
      </c>
    </row>
    <row r="36" spans="2:15" x14ac:dyDescent="0.3">
      <c r="B36" t="s">
        <v>103</v>
      </c>
      <c r="C36" s="29">
        <f>365/C29</f>
        <v>51.105918162714616</v>
      </c>
      <c r="D36" s="29">
        <f t="shared" ref="D36:L36" si="13">365/D29</f>
        <v>63.659124723891068</v>
      </c>
      <c r="E36" s="29">
        <f t="shared" si="13"/>
        <v>57.670674698580349</v>
      </c>
      <c r="F36" s="29">
        <f t="shared" si="13"/>
        <v>59.755256331428114</v>
      </c>
      <c r="G36" s="29">
        <f t="shared" si="13"/>
        <v>61.217423464654587</v>
      </c>
      <c r="H36" s="29">
        <f t="shared" si="13"/>
        <v>63.855865598110604</v>
      </c>
      <c r="I36" s="29">
        <f t="shared" si="13"/>
        <v>77.173158706421162</v>
      </c>
      <c r="J36" s="29">
        <f t="shared" si="13"/>
        <v>65.728509051834251</v>
      </c>
      <c r="K36" s="29">
        <f t="shared" si="13"/>
        <v>60.911708583217838</v>
      </c>
      <c r="L36" s="29">
        <f t="shared" si="13"/>
        <v>72.334130742926988</v>
      </c>
      <c r="M36" s="30"/>
      <c r="N36" s="29">
        <f t="shared" si="10"/>
        <v>63.341177006377947</v>
      </c>
      <c r="O36" s="29">
        <f t="shared" si="11"/>
        <v>62.438274094272828</v>
      </c>
    </row>
    <row r="37" spans="2:15" x14ac:dyDescent="0.3">
      <c r="B37" s="72" t="s">
        <v>104</v>
      </c>
      <c r="C37" s="79">
        <f>SUM(C34,C36)-C35</f>
        <v>-13.448602773781857</v>
      </c>
      <c r="D37" s="79">
        <f t="shared" ref="D37:L37" si="14">SUM(D34,D36)-D35</f>
        <v>-4.0571199423183799</v>
      </c>
      <c r="E37" s="79">
        <f t="shared" si="14"/>
        <v>-9.3477210386013354</v>
      </c>
      <c r="F37" s="79">
        <f t="shared" si="14"/>
        <v>-7.6167624647026599</v>
      </c>
      <c r="G37" s="79">
        <f t="shared" si="14"/>
        <v>5.3404811676665105</v>
      </c>
      <c r="H37" s="79">
        <f t="shared" si="14"/>
        <v>-0.92725992375922317</v>
      </c>
      <c r="I37" s="79">
        <f t="shared" si="14"/>
        <v>30.909875785532464</v>
      </c>
      <c r="J37" s="79">
        <f t="shared" si="14"/>
        <v>31.676606669046208</v>
      </c>
      <c r="K37" s="79">
        <f t="shared" si="14"/>
        <v>21.742524876228117</v>
      </c>
      <c r="L37" s="79">
        <f t="shared" si="14"/>
        <v>25.489463103756862</v>
      </c>
      <c r="M37" s="74"/>
      <c r="N37" s="79">
        <f t="shared" si="10"/>
        <v>7.9761485459066703</v>
      </c>
      <c r="O37" s="79">
        <f t="shared" si="11"/>
        <v>2.2066106219536437</v>
      </c>
    </row>
    <row r="38" spans="2:15" x14ac:dyDescent="0.3">
      <c r="C38" s="29"/>
      <c r="D38" s="29"/>
      <c r="E38" s="29"/>
      <c r="F38" s="29"/>
      <c r="G38" s="29"/>
      <c r="H38" s="29"/>
      <c r="I38" s="29"/>
      <c r="J38" s="29"/>
      <c r="L38" s="29"/>
      <c r="M38" s="29"/>
    </row>
    <row r="39" spans="2:15" x14ac:dyDescent="0.3">
      <c r="B39" s="68" t="s">
        <v>95</v>
      </c>
      <c r="C39" s="71">
        <f>IFERROR(HistoricalsFS!C71/HistoricalsFS!C6,0)</f>
        <v>0.15716298718634142</v>
      </c>
      <c r="D39" s="71">
        <f>IFERROR(HistoricalsFS!D71/HistoricalsFS!D6,0)</f>
        <v>0.10140293546868641</v>
      </c>
      <c r="E39" s="71">
        <f>IFERROR(HistoricalsFS!E71/HistoricalsFS!E6,0)</f>
        <v>0.12561643550644744</v>
      </c>
      <c r="F39" s="71">
        <f>IFERROR(HistoricalsFS!F71/HistoricalsFS!F6,0)</f>
        <v>0.12835360260039821</v>
      </c>
      <c r="G39" s="71">
        <f>IFERROR(HistoricalsFS!G71/HistoricalsFS!G6,0)</f>
        <v>0.15031974766528541</v>
      </c>
      <c r="H39" s="71">
        <f>IFERROR(HistoricalsFS!H71/HistoricalsFS!H6,0)</f>
        <v>0.16963964557295491</v>
      </c>
      <c r="I39" s="71">
        <f>IFERROR(HistoricalsFS!I71/HistoricalsFS!I6,0)</f>
        <v>3.3898508931565902E-2</v>
      </c>
      <c r="J39" s="71">
        <f>IFERROR(HistoricalsFS!J71/HistoricalsFS!J6,0)</f>
        <v>0.12158890809975127</v>
      </c>
      <c r="K39" s="71">
        <f>IFERROR(HistoricalsFS!K71/HistoricalsFS!K6,0)</f>
        <v>0.17195792164076187</v>
      </c>
      <c r="L39" s="71">
        <f>IFERROR(HistoricalsFS!L71/HistoricalsFS!L6,0)</f>
        <v>0.13047866400909347</v>
      </c>
      <c r="M39" s="71"/>
      <c r="N39" s="71">
        <f t="shared" ref="N39:N41" si="15">AVERAGE(C39:L39)</f>
        <v>0.12904193566812863</v>
      </c>
      <c r="O39" s="80">
        <f t="shared" si="11"/>
        <v>0.12941613330474583</v>
      </c>
    </row>
    <row r="40" spans="2:15" x14ac:dyDescent="0.3">
      <c r="B40" t="s">
        <v>96</v>
      </c>
      <c r="C40" s="30">
        <f>IFERROR(HistoricalsFS!C71/HistoricalsFS!C65,0)</f>
        <v>0.21242008025358391</v>
      </c>
      <c r="D40" s="30">
        <f>IFERROR(HistoricalsFS!D71/HistoricalsFS!D65,0)</f>
        <v>0.12312024241466678</v>
      </c>
      <c r="E40" s="30">
        <f>IFERROR(HistoricalsFS!E71/HistoricalsFS!E65,0)</f>
        <v>0.15355418833027695</v>
      </c>
      <c r="F40" s="30">
        <f>IFERROR(HistoricalsFS!F71/HistoricalsFS!F65,0)</f>
        <v>0.15198254152296409</v>
      </c>
      <c r="G40" s="30">
        <f>IFERROR(HistoricalsFS!G71/HistoricalsFS!G65,0)</f>
        <v>0.18826097706217076</v>
      </c>
      <c r="H40" s="30">
        <f>IFERROR(HistoricalsFS!H71/HistoricalsFS!H65,0)</f>
        <v>0.18095251663691198</v>
      </c>
      <c r="I40" s="30">
        <f>IFERROR(HistoricalsFS!I71/HistoricalsFS!I65,0)</f>
        <v>4.2968530513628325E-2</v>
      </c>
      <c r="J40" s="30">
        <f>IFERROR(HistoricalsFS!J71/HistoricalsFS!J65,0)</f>
        <v>0.16266636875357118</v>
      </c>
      <c r="K40" s="30">
        <f>IFERROR(HistoricalsFS!K71/HistoricalsFS!K65,0)</f>
        <v>0.20412852244273305</v>
      </c>
      <c r="L40" s="30">
        <f>IFERROR(HistoricalsFS!L71/HistoricalsFS!L65,0)</f>
        <v>0.14573953434743578</v>
      </c>
      <c r="M40" s="30"/>
      <c r="N40" s="30">
        <f t="shared" si="15"/>
        <v>0.15657935022779429</v>
      </c>
      <c r="O40" s="4">
        <f t="shared" si="11"/>
        <v>0.15811027854192405</v>
      </c>
    </row>
    <row r="41" spans="2:15" x14ac:dyDescent="0.3">
      <c r="B41" s="72" t="s">
        <v>97</v>
      </c>
      <c r="C41" s="74">
        <f>IFERROR(HistoricalsFS!C71/HistoricalsFS!C50,0)</f>
        <v>6.9378885830059689</v>
      </c>
      <c r="D41" s="74">
        <f>IFERROR(HistoricalsFS!D71/HistoricalsFS!D50,0)</f>
        <v>2.7257200985116175</v>
      </c>
      <c r="E41" s="74">
        <f>IFERROR(HistoricalsFS!E71/HistoricalsFS!E50,0)</f>
        <v>3.9619818907822961</v>
      </c>
      <c r="F41" s="74">
        <f>IFERROR(HistoricalsFS!F71/HistoricalsFS!F50,0)</f>
        <v>1.8714307365868446</v>
      </c>
      <c r="G41" s="74">
        <f>IFERROR(HistoricalsFS!G71/HistoricalsFS!G50,0)</f>
        <v>2.7162717925793474</v>
      </c>
      <c r="H41" s="74">
        <f>IFERROR(HistoricalsFS!H71/HistoricalsFS!H50,0)</f>
        <v>3.3695751610070261</v>
      </c>
      <c r="I41" s="74">
        <f>IFERROR(HistoricalsFS!I71/HistoricalsFS!I50,0)</f>
        <v>0.6216538112522686</v>
      </c>
      <c r="J41" s="74">
        <f>IFERROR(HistoricalsFS!J71/HistoricalsFS!J50,0)</f>
        <v>2.1698161045627185</v>
      </c>
      <c r="K41" s="74">
        <f>IFERROR(HistoricalsFS!K71/HistoricalsFS!K50,0)</f>
        <v>2.4667189356525676</v>
      </c>
      <c r="L41" s="74">
        <f>IFERROR(HistoricalsFS!L71/HistoricalsFS!L50,0)</f>
        <v>1.9316156469268084</v>
      </c>
      <c r="M41" s="74"/>
      <c r="N41" s="74">
        <f t="shared" si="15"/>
        <v>2.877267276086747</v>
      </c>
      <c r="O41" s="81">
        <f t="shared" si="11"/>
        <v>2.5914953641159575</v>
      </c>
    </row>
    <row r="42" spans="2:15" x14ac:dyDescent="0.3">
      <c r="E42" s="30"/>
      <c r="F42" s="30"/>
      <c r="G42" s="30"/>
      <c r="H42" s="30"/>
      <c r="I42" s="30"/>
      <c r="J42" s="30"/>
      <c r="L42" s="30"/>
      <c r="M42" s="30"/>
    </row>
    <row r="46" spans="2:15" x14ac:dyDescent="0.3">
      <c r="J46" s="4"/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4C3C94ED-DF4F-43C5-9485-69C70DA1085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markers="1" xr2:uid="{918414E9-63CD-46DD-8FD7-2920A2415991}">
          <x14:colorSeries theme="9" tint="0.39997558519241921"/>
          <x14:colorNegative theme="0" tint="-0.499984740745262"/>
          <x14:colorAxis rgb="FF000000"/>
          <x14:colorMarkers theme="1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'Ratio Analysis'!C16:J16</xm:f>
              <xm:sqref>K16</xm:sqref>
            </x14:sparkline>
            <x14:sparkline>
              <xm:f>'Ratio Analysis'!C20:J20</xm:f>
              <xm:sqref>K20</xm:sqref>
            </x14:sparkline>
            <x14:sparkline>
              <xm:f>'Ratio Analysis'!C26:J26</xm:f>
              <xm:sqref>K26</xm:sqref>
            </x14:sparkline>
            <x14:sparkline>
              <xm:f>'Ratio Analysis'!C33:J33</xm:f>
              <xm:sqref>K33</xm:sqref>
            </x14:sparkline>
            <x14:sparkline>
              <xm:f>'Ratio Analysis'!C38:J38</xm:f>
              <xm:sqref>K38</xm:sqref>
            </x14:sparkline>
          </x14:sparklines>
        </x14:sparklineGroup>
        <x14:sparklineGroup displayEmptyCellsAs="gap" markers="1" xr2:uid="{91CF334C-6855-4A3D-A07A-5D95C1C19A17}">
          <x14:colorSeries theme="9" tint="0.39997558519241921"/>
          <x14:colorNegative theme="0" tint="-0.499984740745262"/>
          <x14:colorAxis rgb="FF000000"/>
          <x14:colorMarkers theme="1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'Ratio Analysis'!E42:J42</xm:f>
              <xm:sqref>K42</xm:sqref>
            </x14:sparkline>
          </x14:sparklines>
        </x14:sparklineGroup>
        <x14:sparklineGroup displayEmptyCellsAs="gap" markers="1" xr2:uid="{D1A5E21A-ECE8-42F6-BE7C-A14C1977BC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0321D2B8-F47A-43C6-9C10-5E48BFA50D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markers="1" xr2:uid="{B49FE960-5A33-4434-9751-061D4D22D8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markers="1" xr2:uid="{FC1A6480-E5D8-4CBD-8833-B8B50314EB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markers="1" xr2:uid="{D39173E7-E9E1-4394-85AD-109F52D1BA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</x14:sparklines>
        </x14:sparklineGroup>
        <x14:sparklineGroup displayEmptyCellsAs="gap" markers="1" xr2:uid="{A5795200-FCAC-4D01-B237-37405F4A2B8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78D9-CBCC-4BFF-8A69-09C54FBB77A3}">
  <sheetPr>
    <tabColor rgb="FF000066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42C-5005-46A4-B7AA-2D67A212C974}">
  <dimension ref="B2:J42"/>
  <sheetViews>
    <sheetView showGridLines="0" workbookViewId="0">
      <selection activeCell="H34" sqref="H34"/>
    </sheetView>
  </sheetViews>
  <sheetFormatPr defaultRowHeight="14.4" outlineLevelRow="1" x14ac:dyDescent="0.3"/>
  <cols>
    <col min="1" max="1" width="1.88671875" customWidth="1"/>
    <col min="3" max="3" width="11.44140625" customWidth="1"/>
    <col min="4" max="4" width="18.33203125" customWidth="1"/>
    <col min="5" max="5" width="9.5546875" bestFit="1" customWidth="1"/>
    <col min="6" max="6" width="13.6640625" bestFit="1" customWidth="1"/>
    <col min="7" max="10" width="14.6640625" bestFit="1" customWidth="1"/>
    <col min="11" max="11" width="8" bestFit="1" customWidth="1"/>
  </cols>
  <sheetData>
    <row r="2" spans="2:10" x14ac:dyDescent="0.3">
      <c r="B2" s="138" t="s">
        <v>208</v>
      </c>
      <c r="C2" s="138"/>
      <c r="D2" s="138"/>
      <c r="E2" s="160">
        <f>'Intrinsic Growth'!K3</f>
        <v>45747</v>
      </c>
      <c r="F2" s="159">
        <f>E2+365</f>
        <v>46112</v>
      </c>
      <c r="G2" s="159">
        <f t="shared" ref="G2:J2" si="0">F2+365</f>
        <v>46477</v>
      </c>
      <c r="H2" s="159">
        <f t="shared" si="0"/>
        <v>46842</v>
      </c>
      <c r="I2" s="159">
        <f t="shared" si="0"/>
        <v>47207</v>
      </c>
      <c r="J2" s="159">
        <f t="shared" si="0"/>
        <v>47572</v>
      </c>
    </row>
    <row r="4" spans="2:10" x14ac:dyDescent="0.3">
      <c r="B4" s="142" t="s">
        <v>195</v>
      </c>
      <c r="C4" s="142"/>
      <c r="D4" s="142"/>
      <c r="E4" s="185">
        <f>HistoricalsFS!C27+HistoricalsFS!C21</f>
        <v>2449.4600000000014</v>
      </c>
      <c r="F4" s="142">
        <f>E4*(1+$E$14)</f>
        <v>2932.9483378440686</v>
      </c>
      <c r="G4" s="142">
        <f>F4*(1+$E$14)</f>
        <v>3511.8703520213762</v>
      </c>
      <c r="H4" s="142">
        <f>G4*(1+$E$14)</f>
        <v>4205.0632840238068</v>
      </c>
      <c r="I4" s="142">
        <f>H4*(1+$E$14)</f>
        <v>5035.0825771422014</v>
      </c>
      <c r="J4" s="142">
        <f>I4*(1+$E$14)</f>
        <v>6028.9357962721742</v>
      </c>
    </row>
    <row r="5" spans="2:10" x14ac:dyDescent="0.3">
      <c r="B5" s="142" t="s">
        <v>209</v>
      </c>
      <c r="C5" s="142"/>
      <c r="D5" s="142"/>
      <c r="E5" s="186">
        <v>0.25</v>
      </c>
      <c r="F5" s="187">
        <v>0.25</v>
      </c>
      <c r="G5" s="187">
        <v>0.25</v>
      </c>
      <c r="H5" s="187">
        <v>0.25</v>
      </c>
      <c r="I5" s="187">
        <v>0.25</v>
      </c>
      <c r="J5" s="187">
        <v>0.25</v>
      </c>
    </row>
    <row r="6" spans="2:10" x14ac:dyDescent="0.3">
      <c r="B6" s="142" t="s">
        <v>210</v>
      </c>
      <c r="C6" s="142"/>
      <c r="D6" s="142"/>
      <c r="E6" s="185">
        <f>E4*(1-E5)</f>
        <v>1837.0950000000012</v>
      </c>
      <c r="F6" s="142">
        <f>F4*(1-F5)</f>
        <v>2199.7112533830514</v>
      </c>
      <c r="G6" s="142">
        <f>G4*(1-G5)</f>
        <v>2633.9027640160321</v>
      </c>
      <c r="H6" s="142">
        <f>H4*(1-H5)</f>
        <v>3153.7974630178551</v>
      </c>
      <c r="I6" s="142">
        <f>I4*(1-I5)</f>
        <v>3776.3119328566509</v>
      </c>
      <c r="J6" s="142">
        <f>J4*(1-J5)</f>
        <v>4521.7018472041309</v>
      </c>
    </row>
    <row r="7" spans="2:10" x14ac:dyDescent="0.3">
      <c r="B7" s="142" t="s">
        <v>211</v>
      </c>
      <c r="C7" s="142"/>
      <c r="D7" s="142"/>
      <c r="E7" s="188">
        <f>'Intrinsic Growth'!K55</f>
        <v>0.55972691628617965</v>
      </c>
      <c r="F7" s="149">
        <f>E7+(($J$7-$E$7)/4)</f>
        <v>0.52467018721463476</v>
      </c>
      <c r="G7" s="149">
        <f>F7+(($J$7-$E$7)/4)</f>
        <v>0.48961345814308987</v>
      </c>
      <c r="H7" s="149">
        <f>G7+(($J$7-$E$7)/4)</f>
        <v>0.45455672907154498</v>
      </c>
      <c r="I7" s="149">
        <f>H7+(($J$7-$E$7)/4)</f>
        <v>0.4195000000000001</v>
      </c>
      <c r="J7" s="189">
        <v>0.41949999999999998</v>
      </c>
    </row>
    <row r="8" spans="2:10" x14ac:dyDescent="0.3">
      <c r="B8" s="142" t="s">
        <v>212</v>
      </c>
      <c r="C8" s="142"/>
      <c r="D8" s="142"/>
      <c r="E8" s="194">
        <f>E6*(1-E7)</f>
        <v>808.82348072524132</v>
      </c>
      <c r="F8" s="195">
        <f>F6*(1-F7)</f>
        <v>1045.5883382524269</v>
      </c>
      <c r="G8" s="195">
        <f>G6*(1-G7)</f>
        <v>1344.3085233134998</v>
      </c>
      <c r="H8" s="195">
        <f>H6*(1-H7)</f>
        <v>1720.217604074322</v>
      </c>
      <c r="I8" s="195">
        <f>I6*(1-I7)</f>
        <v>2192.1490770232854</v>
      </c>
      <c r="J8" s="195">
        <f>J6*(1-J7)</f>
        <v>2624.8479223019981</v>
      </c>
    </row>
    <row r="9" spans="2:10" x14ac:dyDescent="0.3">
      <c r="B9" s="142" t="s">
        <v>214</v>
      </c>
      <c r="C9" s="142"/>
      <c r="D9" s="142"/>
      <c r="E9" s="185"/>
      <c r="F9" s="142">
        <v>0.5</v>
      </c>
      <c r="G9" s="142">
        <f>F9+1</f>
        <v>1.5</v>
      </c>
      <c r="H9" s="142">
        <f t="shared" ref="H9:J9" si="1">G9+1</f>
        <v>2.5</v>
      </c>
      <c r="I9" s="142">
        <f t="shared" si="1"/>
        <v>3.5</v>
      </c>
      <c r="J9" s="142">
        <f t="shared" si="1"/>
        <v>4.5</v>
      </c>
    </row>
    <row r="10" spans="2:10" x14ac:dyDescent="0.3">
      <c r="B10" s="142" t="s">
        <v>215</v>
      </c>
      <c r="C10" s="142"/>
      <c r="D10" s="142"/>
      <c r="E10" s="185"/>
      <c r="F10" s="190">
        <f>1/(1+$E$16)^F9</f>
        <v>0.93696241412804149</v>
      </c>
      <c r="G10" s="190">
        <f t="shared" ref="G10:J10" si="2">1/(1+$E$16)^G9</f>
        <v>0.8225579592797877</v>
      </c>
      <c r="H10" s="190">
        <f t="shared" si="2"/>
        <v>0.72212245248299489</v>
      </c>
      <c r="I10" s="190">
        <f t="shared" si="2"/>
        <v>0.63395026514196517</v>
      </c>
      <c r="J10" s="190">
        <f t="shared" si="2"/>
        <v>0.55654402835927896</v>
      </c>
    </row>
    <row r="11" spans="2:10" ht="6" customHeight="1" x14ac:dyDescent="0.3">
      <c r="E11" s="184"/>
    </row>
    <row r="12" spans="2:10" ht="15" thickBot="1" x14ac:dyDescent="0.35">
      <c r="B12" s="143" t="s">
        <v>216</v>
      </c>
      <c r="C12" s="143"/>
      <c r="D12" s="143"/>
      <c r="E12" s="191"/>
      <c r="F12" s="198">
        <f>F8*F10</f>
        <v>979.67697359312115</v>
      </c>
      <c r="G12" s="198">
        <f t="shared" ref="G12:J12" si="3">G8*G10</f>
        <v>1105.7716755791773</v>
      </c>
      <c r="H12" s="198">
        <f t="shared" si="3"/>
        <v>1242.2077550585709</v>
      </c>
      <c r="I12" s="198">
        <f t="shared" si="3"/>
        <v>1389.713488609626</v>
      </c>
      <c r="J12" s="198">
        <f t="shared" si="3"/>
        <v>1460.8434365084377</v>
      </c>
    </row>
    <row r="14" spans="2:10" outlineLevel="1" x14ac:dyDescent="0.3">
      <c r="B14" s="182" t="s">
        <v>217</v>
      </c>
      <c r="C14" s="182"/>
      <c r="D14" s="182"/>
      <c r="E14" s="183">
        <f>'Intrinsic Growth'!K65</f>
        <v>0.19738568412795743</v>
      </c>
    </row>
    <row r="15" spans="2:10" outlineLevel="1" x14ac:dyDescent="0.3">
      <c r="B15" s="182" t="s">
        <v>218</v>
      </c>
      <c r="C15" s="182"/>
      <c r="D15" s="182"/>
      <c r="E15" s="183">
        <v>7.5999999999999998E-2</v>
      </c>
    </row>
    <row r="16" spans="2:10" outlineLevel="1" x14ac:dyDescent="0.3">
      <c r="B16" s="182" t="s">
        <v>219</v>
      </c>
      <c r="C16" s="182"/>
      <c r="D16" s="182"/>
      <c r="E16" s="183">
        <f>WACC!J39</f>
        <v>0.13908376128099673</v>
      </c>
    </row>
    <row r="19" spans="2:10" x14ac:dyDescent="0.3">
      <c r="B19" s="138" t="s">
        <v>220</v>
      </c>
      <c r="C19" s="138"/>
      <c r="D19" s="138"/>
      <c r="E19" s="192"/>
      <c r="F19" s="193"/>
      <c r="G19" s="193"/>
      <c r="H19" s="193"/>
      <c r="I19" s="193"/>
      <c r="J19" s="193"/>
    </row>
    <row r="21" spans="2:10" x14ac:dyDescent="0.3">
      <c r="B21" t="s">
        <v>221</v>
      </c>
      <c r="D21" s="196">
        <f>J8*(1+E14)</f>
        <v>3142.9553251774259</v>
      </c>
    </row>
    <row r="22" spans="2:10" x14ac:dyDescent="0.3">
      <c r="B22" t="s">
        <v>219</v>
      </c>
      <c r="D22" s="4">
        <f>E16</f>
        <v>0.13908376128099673</v>
      </c>
    </row>
    <row r="23" spans="2:10" x14ac:dyDescent="0.3">
      <c r="B23" t="s">
        <v>222</v>
      </c>
      <c r="D23" s="4">
        <f>E15</f>
        <v>7.5999999999999998E-2</v>
      </c>
    </row>
    <row r="24" spans="2:10" ht="3.6" customHeight="1" x14ac:dyDescent="0.3"/>
    <row r="25" spans="2:10" ht="15" thickBot="1" x14ac:dyDescent="0.35">
      <c r="B25" s="144" t="s">
        <v>223</v>
      </c>
      <c r="C25" s="144"/>
      <c r="D25" s="197">
        <f>D21/(D22-D23)</f>
        <v>49821.939297145327</v>
      </c>
    </row>
    <row r="28" spans="2:10" x14ac:dyDescent="0.3">
      <c r="B28" s="138" t="s">
        <v>224</v>
      </c>
      <c r="C28" s="138"/>
      <c r="D28" s="138"/>
    </row>
    <row r="30" spans="2:10" x14ac:dyDescent="0.3">
      <c r="B30" t="s">
        <v>225</v>
      </c>
      <c r="D30" s="196">
        <f>SUM(F12:J12)</f>
        <v>6178.2133293489333</v>
      </c>
    </row>
    <row r="31" spans="2:10" x14ac:dyDescent="0.3">
      <c r="B31" t="s">
        <v>226</v>
      </c>
      <c r="D31" s="196">
        <f>D25*J10</f>
        <v>27728.102797104722</v>
      </c>
    </row>
    <row r="32" spans="2:10" x14ac:dyDescent="0.3">
      <c r="B32" s="2" t="s">
        <v>227</v>
      </c>
      <c r="D32" s="199">
        <f>SUM(D30:D31)</f>
        <v>33906.316126453654</v>
      </c>
    </row>
    <row r="33" spans="2:4" x14ac:dyDescent="0.3">
      <c r="D33" s="196"/>
    </row>
    <row r="34" spans="2:4" x14ac:dyDescent="0.3">
      <c r="B34" t="s">
        <v>229</v>
      </c>
      <c r="D34" s="196">
        <f>'Data Sheet'!K69</f>
        <v>781.98</v>
      </c>
    </row>
    <row r="35" spans="2:4" x14ac:dyDescent="0.3">
      <c r="B35" t="s">
        <v>228</v>
      </c>
      <c r="D35" s="196">
        <f>SUM('Raw FS'!N7,'Raw FS'!N8)</f>
        <v>864</v>
      </c>
    </row>
    <row r="36" spans="2:4" x14ac:dyDescent="0.3">
      <c r="B36" s="2" t="s">
        <v>230</v>
      </c>
      <c r="C36" s="2"/>
      <c r="D36" s="199">
        <f>D32+D34-D35</f>
        <v>33824.296126453657</v>
      </c>
    </row>
    <row r="37" spans="2:4" x14ac:dyDescent="0.3">
      <c r="B37" t="s">
        <v>231</v>
      </c>
      <c r="D37" s="196">
        <f>'Data Sheet'!B6</f>
        <v>95.929135016901967</v>
      </c>
    </row>
    <row r="38" spans="2:4" ht="3.6" customHeight="1" x14ac:dyDescent="0.3"/>
    <row r="39" spans="2:4" ht="15" thickBot="1" x14ac:dyDescent="0.35">
      <c r="B39" s="144" t="s">
        <v>232</v>
      </c>
      <c r="C39" s="144"/>
      <c r="D39" s="197">
        <f>D36/D37</f>
        <v>352.59669672299327</v>
      </c>
    </row>
    <row r="41" spans="2:4" x14ac:dyDescent="0.3">
      <c r="B41" t="s">
        <v>233</v>
      </c>
      <c r="D41" s="200">
        <v>2514</v>
      </c>
    </row>
    <row r="42" spans="2:4" x14ac:dyDescent="0.3">
      <c r="B42" s="2" t="s">
        <v>234</v>
      </c>
      <c r="C42" s="2"/>
      <c r="D42" s="201">
        <f>D41/D39</f>
        <v>7.1299590250417086</v>
      </c>
    </row>
  </sheetData>
  <pageMargins left="0.7" right="0.7" top="0.75" bottom="0.75" header="0.3" footer="0.3"/>
  <pageSetup orientation="portrait" r:id="rId1"/>
  <ignoredErrors>
    <ignoredError sqref="E7:I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85B7-3F84-4B25-A838-60E4A463D054}">
  <dimension ref="A2:J39"/>
  <sheetViews>
    <sheetView showGridLines="0" topLeftCell="A2" zoomScale="156" zoomScaleNormal="156" workbookViewId="0">
      <pane ySplit="12" topLeftCell="A25" activePane="bottomLeft" state="frozen"/>
      <selection activeCell="A2" sqref="A2"/>
      <selection pane="bottomLeft" activeCell="J21" sqref="J21"/>
    </sheetView>
  </sheetViews>
  <sheetFormatPr defaultRowHeight="14.4" x14ac:dyDescent="0.3"/>
  <cols>
    <col min="1" max="1" width="1.88671875" customWidth="1"/>
    <col min="2" max="2" width="16.88671875" bestFit="1" customWidth="1"/>
    <col min="3" max="3" width="11.21875" style="203" customWidth="1"/>
    <col min="4" max="4" width="11.33203125" style="203" customWidth="1"/>
    <col min="5" max="5" width="11" style="203" customWidth="1"/>
    <col min="6" max="6" width="8.77734375" style="203" bestFit="1" customWidth="1"/>
    <col min="7" max="7" width="6.88671875" style="203" customWidth="1"/>
    <col min="8" max="8" width="6.6640625" style="203" bestFit="1" customWidth="1"/>
    <col min="9" max="9" width="8.33203125" style="203" customWidth="1"/>
    <col min="10" max="10" width="9.77734375" style="203" bestFit="1" customWidth="1"/>
  </cols>
  <sheetData>
    <row r="2" spans="1:10" x14ac:dyDescent="0.3">
      <c r="A2" s="2" t="s">
        <v>58</v>
      </c>
      <c r="B2" s="202" t="s">
        <v>235</v>
      </c>
      <c r="C2" s="204"/>
      <c r="D2" s="204"/>
      <c r="E2" s="204"/>
      <c r="F2" s="204"/>
      <c r="G2" s="204"/>
      <c r="H2" s="204"/>
      <c r="I2" s="204"/>
      <c r="J2" s="204"/>
    </row>
    <row r="3" spans="1:10" x14ac:dyDescent="0.3">
      <c r="G3" s="203" t="s">
        <v>241</v>
      </c>
      <c r="H3" s="203" t="s">
        <v>241</v>
      </c>
      <c r="I3" s="203" t="s">
        <v>244</v>
      </c>
      <c r="J3" s="203" t="s">
        <v>246</v>
      </c>
    </row>
    <row r="4" spans="1:10" ht="16.2" x14ac:dyDescent="0.3">
      <c r="A4" t="s">
        <v>58</v>
      </c>
      <c r="B4" s="202" t="s">
        <v>236</v>
      </c>
      <c r="C4" s="204" t="s">
        <v>237</v>
      </c>
      <c r="D4" s="204" t="s">
        <v>238</v>
      </c>
      <c r="E4" s="204" t="s">
        <v>239</v>
      </c>
      <c r="F4" s="204" t="s">
        <v>240</v>
      </c>
      <c r="G4" s="204" t="s">
        <v>242</v>
      </c>
      <c r="H4" s="204" t="s">
        <v>243</v>
      </c>
      <c r="I4" s="204" t="s">
        <v>245</v>
      </c>
      <c r="J4" s="204" t="s">
        <v>247</v>
      </c>
    </row>
    <row r="6" spans="1:10" x14ac:dyDescent="0.3">
      <c r="B6" s="206" t="s">
        <v>249</v>
      </c>
      <c r="C6" s="207" t="s">
        <v>253</v>
      </c>
      <c r="D6" s="209">
        <v>3557.09</v>
      </c>
      <c r="E6" s="209">
        <v>237575.97</v>
      </c>
      <c r="F6" s="208">
        <v>0.3</v>
      </c>
      <c r="G6" s="215">
        <f>D6/E6</f>
        <v>1.4972431765721087E-2</v>
      </c>
      <c r="H6" s="215">
        <f>D6/(E6+D6)</f>
        <v>1.4751564965832558E-2</v>
      </c>
      <c r="I6" s="217">
        <v>0.86499999999999999</v>
      </c>
      <c r="J6" s="216">
        <f>I6/(1+(1-F6)*G6)</f>
        <v>0.85602822308819637</v>
      </c>
    </row>
    <row r="7" spans="1:10" x14ac:dyDescent="0.3">
      <c r="B7" s="206" t="s">
        <v>248</v>
      </c>
      <c r="C7" s="207" t="s">
        <v>253</v>
      </c>
      <c r="D7" s="209">
        <v>697.33</v>
      </c>
      <c r="E7" s="209">
        <v>54364.73</v>
      </c>
      <c r="F7" s="208">
        <v>0.3</v>
      </c>
      <c r="G7" s="215">
        <f t="shared" ref="G7:G10" si="0">D7/E7</f>
        <v>1.2826882429104311E-2</v>
      </c>
      <c r="H7" s="215">
        <f t="shared" ref="H7:H10" si="1">D7/(E7+D7)</f>
        <v>1.2664437182335713E-2</v>
      </c>
      <c r="I7" s="217">
        <v>0.92200000000000004</v>
      </c>
      <c r="J7" s="216">
        <f t="shared" ref="J7:J10" si="2">I7/(1+(1-F7)*G7)</f>
        <v>0.91379519948831833</v>
      </c>
    </row>
    <row r="8" spans="1:10" x14ac:dyDescent="0.3">
      <c r="B8" s="206" t="s">
        <v>250</v>
      </c>
      <c r="C8" s="207" t="s">
        <v>253</v>
      </c>
      <c r="D8" s="209">
        <v>276.42</v>
      </c>
      <c r="E8" s="209">
        <v>15940.89</v>
      </c>
      <c r="F8" s="208">
        <v>0.3</v>
      </c>
      <c r="G8" s="215">
        <f t="shared" si="0"/>
        <v>1.7340311613717931E-2</v>
      </c>
      <c r="H8" s="215">
        <f t="shared" si="1"/>
        <v>1.7044750331590135E-2</v>
      </c>
      <c r="I8" s="217">
        <v>0.84699999999999998</v>
      </c>
      <c r="J8" s="216">
        <f t="shared" si="2"/>
        <v>0.83684222651450457</v>
      </c>
    </row>
    <row r="9" spans="1:10" x14ac:dyDescent="0.3">
      <c r="B9" s="206" t="s">
        <v>251</v>
      </c>
      <c r="C9" s="207" t="s">
        <v>253</v>
      </c>
      <c r="D9" s="209">
        <v>71.2</v>
      </c>
      <c r="E9" s="209">
        <v>13446.66</v>
      </c>
      <c r="F9" s="208">
        <v>0.3</v>
      </c>
      <c r="G9" s="215">
        <f t="shared" si="0"/>
        <v>5.2949951883962268E-3</v>
      </c>
      <c r="H9" s="215">
        <f t="shared" si="1"/>
        <v>5.267105888062164E-3</v>
      </c>
      <c r="I9" s="217">
        <v>0.41599999999999998</v>
      </c>
      <c r="J9" s="216">
        <f t="shared" si="2"/>
        <v>0.41446379135331379</v>
      </c>
    </row>
    <row r="10" spans="1:10" x14ac:dyDescent="0.3">
      <c r="B10" s="206" t="s">
        <v>252</v>
      </c>
      <c r="C10" s="207" t="s">
        <v>253</v>
      </c>
      <c r="D10" s="209">
        <v>17.64</v>
      </c>
      <c r="E10" s="209">
        <v>4107.3900000000003</v>
      </c>
      <c r="F10" s="208">
        <v>0.3</v>
      </c>
      <c r="G10" s="215">
        <f t="shared" si="0"/>
        <v>4.2946980929495374E-3</v>
      </c>
      <c r="H10" s="215">
        <f t="shared" si="1"/>
        <v>4.2763325357633754E-3</v>
      </c>
      <c r="I10" s="217">
        <v>1.07</v>
      </c>
      <c r="J10" s="216">
        <f t="shared" si="2"/>
        <v>1.0667929125590028</v>
      </c>
    </row>
    <row r="12" spans="1:10" x14ac:dyDescent="0.3">
      <c r="E12" s="218" t="s">
        <v>254</v>
      </c>
      <c r="F12" s="219">
        <f>AVERAGE(F6:F10)</f>
        <v>0.3</v>
      </c>
      <c r="G12" s="219">
        <f t="shared" ref="G12:J12" si="3">AVERAGE(G6:G10)</f>
        <v>1.0945863817977819E-2</v>
      </c>
      <c r="H12" s="219">
        <f t="shared" si="3"/>
        <v>1.0800838180716791E-2</v>
      </c>
      <c r="I12" s="222">
        <f t="shared" si="3"/>
        <v>0.82400000000000007</v>
      </c>
      <c r="J12" s="222">
        <f t="shared" si="3"/>
        <v>0.8175844706006673</v>
      </c>
    </row>
    <row r="13" spans="1:10" x14ac:dyDescent="0.3">
      <c r="E13" s="220" t="s">
        <v>106</v>
      </c>
      <c r="F13" s="221">
        <f>MEDIAN(F6:F10)</f>
        <v>0.3</v>
      </c>
      <c r="G13" s="221">
        <f t="shared" ref="G13:J13" si="4">MEDIAN(G6:G10)</f>
        <v>1.2826882429104311E-2</v>
      </c>
      <c r="H13" s="221">
        <f>MEDIAN(H6:H10)</f>
        <v>1.2664437182335713E-2</v>
      </c>
      <c r="I13" s="223">
        <f t="shared" si="4"/>
        <v>0.86499999999999999</v>
      </c>
      <c r="J13" s="223">
        <f t="shared" si="4"/>
        <v>0.85602822308819637</v>
      </c>
    </row>
    <row r="16" spans="1:10" x14ac:dyDescent="0.3">
      <c r="B16" s="202" t="s">
        <v>255</v>
      </c>
      <c r="C16" s="204"/>
      <c r="D16" s="204"/>
      <c r="E16" s="204"/>
      <c r="G16" s="226" t="s">
        <v>258</v>
      </c>
      <c r="H16" s="204"/>
      <c r="I16" s="204"/>
      <c r="J16" s="204"/>
    </row>
    <row r="17" spans="2:10" x14ac:dyDescent="0.3">
      <c r="F17" s="227"/>
      <c r="G17" s="227"/>
    </row>
    <row r="18" spans="2:10" x14ac:dyDescent="0.3">
      <c r="B18" t="s">
        <v>256</v>
      </c>
      <c r="E18" s="212">
        <f>227/3557</f>
        <v>6.3817824008996341E-2</v>
      </c>
      <c r="F18" s="227"/>
      <c r="G18" s="227" t="s">
        <v>259</v>
      </c>
      <c r="J18" s="208">
        <v>6.9330000000000003E-2</v>
      </c>
    </row>
    <row r="19" spans="2:10" x14ac:dyDescent="0.3">
      <c r="B19" t="s">
        <v>209</v>
      </c>
      <c r="E19" s="205">
        <f>F12</f>
        <v>0.3</v>
      </c>
      <c r="F19" s="227"/>
      <c r="G19" s="227" t="s">
        <v>260</v>
      </c>
      <c r="J19" s="205">
        <f>RM!H7-WACC!J18</f>
        <v>8.2162307692307701E-2</v>
      </c>
    </row>
    <row r="20" spans="2:10" ht="16.2" x14ac:dyDescent="0.3">
      <c r="B20" s="224" t="s">
        <v>257</v>
      </c>
      <c r="C20" s="225"/>
      <c r="D20" s="225"/>
      <c r="E20" s="239">
        <f>E18*(1-E19)</f>
        <v>4.4672476806297434E-2</v>
      </c>
      <c r="F20" s="227"/>
      <c r="G20" s="227" t="s">
        <v>261</v>
      </c>
      <c r="J20" s="210">
        <f>J29</f>
        <v>0.86371434444967965</v>
      </c>
    </row>
    <row r="21" spans="2:10" x14ac:dyDescent="0.3">
      <c r="F21" s="227"/>
      <c r="G21" s="228" t="s">
        <v>258</v>
      </c>
      <c r="H21" s="225"/>
      <c r="I21" s="225"/>
      <c r="J21" s="239">
        <f>J18+(J19*J20)</f>
        <v>0.14029476372693442</v>
      </c>
    </row>
    <row r="22" spans="2:10" x14ac:dyDescent="0.3">
      <c r="E22" s="211"/>
    </row>
    <row r="24" spans="2:10" x14ac:dyDescent="0.3">
      <c r="B24" s="202" t="s">
        <v>262</v>
      </c>
      <c r="C24" s="204"/>
      <c r="D24" s="204"/>
      <c r="E24" s="204"/>
      <c r="G24" s="226" t="s">
        <v>266</v>
      </c>
      <c r="H24" s="204"/>
      <c r="I24" s="204"/>
      <c r="J24" s="204"/>
    </row>
    <row r="26" spans="2:10" x14ac:dyDescent="0.3">
      <c r="D26" s="220" t="s">
        <v>264</v>
      </c>
      <c r="E26" s="220" t="s">
        <v>265</v>
      </c>
      <c r="G26" s="227" t="s">
        <v>271</v>
      </c>
      <c r="J26" s="232">
        <f>J13</f>
        <v>0.85602822308819637</v>
      </c>
    </row>
    <row r="27" spans="2:10" x14ac:dyDescent="0.3">
      <c r="B27" t="s">
        <v>238</v>
      </c>
      <c r="C27" s="12">
        <f>D6</f>
        <v>3557.09</v>
      </c>
      <c r="D27" s="212">
        <f>C27/C29</f>
        <v>1.4751564965832558E-2</v>
      </c>
      <c r="E27" s="230">
        <f>H13</f>
        <v>1.2664437182335713E-2</v>
      </c>
      <c r="G27" s="227" t="s">
        <v>267</v>
      </c>
      <c r="J27" s="205">
        <f>E31</f>
        <v>1.2826882429104311E-2</v>
      </c>
    </row>
    <row r="28" spans="2:10" x14ac:dyDescent="0.3">
      <c r="B28" t="s">
        <v>45</v>
      </c>
      <c r="C28" s="12">
        <f>E6</f>
        <v>237575.97</v>
      </c>
      <c r="D28" s="212">
        <f>C28/C29</f>
        <v>0.98524843503416748</v>
      </c>
      <c r="E28" s="205">
        <f>E29-E27</f>
        <v>0.98733556281766433</v>
      </c>
      <c r="G28" s="227" t="s">
        <v>209</v>
      </c>
      <c r="J28" s="205">
        <f>F13</f>
        <v>0.3</v>
      </c>
    </row>
    <row r="29" spans="2:10" x14ac:dyDescent="0.3">
      <c r="B29" s="224" t="s">
        <v>263</v>
      </c>
      <c r="C29" s="229">
        <f>SUM(C27:C28)</f>
        <v>241133.06</v>
      </c>
      <c r="D29" s="219">
        <f>SUM(D27:D28)</f>
        <v>1</v>
      </c>
      <c r="E29" s="219">
        <v>1</v>
      </c>
      <c r="G29" s="228" t="s">
        <v>266</v>
      </c>
      <c r="H29" s="225"/>
      <c r="I29" s="225"/>
      <c r="J29" s="238">
        <f>J26*(1+(1-J28)*J27)</f>
        <v>0.86371434444967965</v>
      </c>
    </row>
    <row r="31" spans="2:10" x14ac:dyDescent="0.3">
      <c r="B31" t="s">
        <v>270</v>
      </c>
      <c r="D31" s="215">
        <f>D27/D28</f>
        <v>1.4972431765721087E-2</v>
      </c>
      <c r="E31" s="231">
        <f>E27/E28</f>
        <v>1.2826882429104311E-2</v>
      </c>
      <c r="G31" s="226" t="s">
        <v>219</v>
      </c>
      <c r="H31" s="204"/>
      <c r="I31" s="204"/>
      <c r="J31" s="204"/>
    </row>
    <row r="33" spans="7:10" x14ac:dyDescent="0.3">
      <c r="G33" s="227" t="s">
        <v>258</v>
      </c>
      <c r="J33" s="205">
        <f>J21</f>
        <v>0.14029476372693442</v>
      </c>
    </row>
    <row r="34" spans="7:10" x14ac:dyDescent="0.3">
      <c r="G34" s="227" t="s">
        <v>268</v>
      </c>
      <c r="J34" s="205">
        <f>E28</f>
        <v>0.98733556281766433</v>
      </c>
    </row>
    <row r="35" spans="7:10" x14ac:dyDescent="0.3">
      <c r="G35" s="227"/>
    </row>
    <row r="36" spans="7:10" x14ac:dyDescent="0.3">
      <c r="G36" s="227" t="s">
        <v>255</v>
      </c>
      <c r="J36" s="205">
        <f>E20</f>
        <v>4.4672476806297434E-2</v>
      </c>
    </row>
    <row r="37" spans="7:10" x14ac:dyDescent="0.3">
      <c r="G37" s="227" t="s">
        <v>269</v>
      </c>
      <c r="J37" s="205">
        <f>E27</f>
        <v>1.2664437182335713E-2</v>
      </c>
    </row>
    <row r="38" spans="7:10" x14ac:dyDescent="0.3">
      <c r="G38" s="227"/>
    </row>
    <row r="39" spans="7:10" x14ac:dyDescent="0.3">
      <c r="G39" s="235" t="s">
        <v>219</v>
      </c>
      <c r="H39" s="236"/>
      <c r="I39" s="236"/>
      <c r="J39" s="237">
        <f>(J33*J34)+(J36*J37)</f>
        <v>0.13908376128099673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4C94-E96C-443B-BE8F-A06A414F9CEE}">
  <dimension ref="A3:K65"/>
  <sheetViews>
    <sheetView showGridLines="0" tabSelected="1" workbookViewId="0">
      <selection activeCell="B2" sqref="B2"/>
    </sheetView>
  </sheetViews>
  <sheetFormatPr defaultRowHeight="14.4" x14ac:dyDescent="0.3"/>
  <cols>
    <col min="1" max="1" width="1.88671875" customWidth="1"/>
    <col min="7" max="7" width="9.33203125" bestFit="1" customWidth="1"/>
    <col min="8" max="8" width="20.33203125" bestFit="1" customWidth="1"/>
    <col min="9" max="11" width="21.44140625" bestFit="1" customWidth="1"/>
  </cols>
  <sheetData>
    <row r="3" spans="2:11" x14ac:dyDescent="0.3">
      <c r="B3" s="138" t="s">
        <v>187</v>
      </c>
      <c r="C3" s="139"/>
      <c r="D3" s="139"/>
      <c r="E3" s="139"/>
      <c r="F3" s="139"/>
      <c r="G3" s="140">
        <f>IFERROR('Data Sheet'!$G$16,0)</f>
        <v>44286</v>
      </c>
      <c r="H3" s="140">
        <f>IFERROR('Data Sheet'!$H$16,0)</f>
        <v>44651</v>
      </c>
      <c r="I3" s="140">
        <f>IFERROR('Data Sheet'!$I$16,0)</f>
        <v>45016</v>
      </c>
      <c r="J3" s="140">
        <f>IFERROR('Data Sheet'!$J$16,0)</f>
        <v>45382</v>
      </c>
      <c r="K3" s="140">
        <f>IFERROR('Data Sheet'!$K$16,0)</f>
        <v>45747</v>
      </c>
    </row>
    <row r="5" spans="2:11" x14ac:dyDescent="0.3">
      <c r="B5" s="2" t="s">
        <v>188</v>
      </c>
    </row>
    <row r="6" spans="2:11" x14ac:dyDescent="0.3">
      <c r="B6" s="141" t="str">
        <f>IFERROR('Raw FS'!B35,0)</f>
        <v>Inventories</v>
      </c>
      <c r="C6" s="142"/>
      <c r="D6" s="142"/>
      <c r="E6" s="142"/>
      <c r="F6" s="142"/>
      <c r="G6" s="152">
        <f>'Raw FS'!J35</f>
        <v>3799</v>
      </c>
      <c r="H6" s="152">
        <f>'Raw FS'!K35</f>
        <v>6153</v>
      </c>
      <c r="I6" s="152">
        <f>'Raw FS'!L35</f>
        <v>6211</v>
      </c>
      <c r="J6" s="152">
        <f>'Raw FS'!M35</f>
        <v>5923</v>
      </c>
      <c r="K6" s="152">
        <f>'Raw FS'!N35</f>
        <v>6719</v>
      </c>
    </row>
    <row r="7" spans="2:11" x14ac:dyDescent="0.3">
      <c r="B7" s="141" t="str">
        <f>IFERROR('Raw FS'!B36,0)</f>
        <v>Trade receivables +</v>
      </c>
      <c r="C7" s="142"/>
      <c r="D7" s="142"/>
      <c r="E7" s="142"/>
      <c r="F7" s="142"/>
      <c r="G7" s="152">
        <f>'Raw FS'!J36</f>
        <v>2602</v>
      </c>
      <c r="H7" s="152">
        <f>'Raw FS'!K36</f>
        <v>3871</v>
      </c>
      <c r="I7" s="152">
        <f>'Raw FS'!L36</f>
        <v>4637</v>
      </c>
      <c r="J7" s="152">
        <f>'Raw FS'!M36</f>
        <v>4889</v>
      </c>
      <c r="K7" s="152">
        <f>'Raw FS'!N36</f>
        <v>4314</v>
      </c>
    </row>
    <row r="8" spans="2:11" x14ac:dyDescent="0.3">
      <c r="B8" s="141" t="str">
        <f>IFERROR('Raw FS'!B37,0)</f>
        <v>Cash Equivalents</v>
      </c>
      <c r="C8" s="142"/>
      <c r="D8" s="142"/>
      <c r="E8" s="142"/>
      <c r="F8" s="142"/>
      <c r="G8" s="152">
        <f>'Raw FS'!J38</f>
        <v>12</v>
      </c>
      <c r="H8" s="152">
        <f>'Raw FS'!K38</f>
        <v>8</v>
      </c>
      <c r="I8" s="152">
        <f>'Raw FS'!L38</f>
        <v>12</v>
      </c>
      <c r="J8" s="152">
        <f>'Raw FS'!M38</f>
        <v>17</v>
      </c>
      <c r="K8" s="152">
        <f>'Raw FS'!N38</f>
        <v>22</v>
      </c>
    </row>
    <row r="9" spans="2:11" x14ac:dyDescent="0.3">
      <c r="B9" s="141" t="str">
        <f>IFERROR('Raw FS'!B38,0)</f>
        <v>Loans n Advances</v>
      </c>
      <c r="C9" s="142"/>
      <c r="D9" s="142"/>
      <c r="E9" s="142"/>
      <c r="F9" s="142"/>
      <c r="G9" s="152">
        <f>'Raw FS'!J39</f>
        <v>2554</v>
      </c>
      <c r="H9" s="152">
        <f>'Raw FS'!K39</f>
        <v>2869</v>
      </c>
      <c r="I9" s="152">
        <f>'Raw FS'!L39</f>
        <v>3024</v>
      </c>
      <c r="J9" s="152">
        <f>'Raw FS'!M39</f>
        <v>3555</v>
      </c>
      <c r="K9" s="152">
        <f>'Raw FS'!N39</f>
        <v>3319</v>
      </c>
    </row>
    <row r="10" spans="2:11" x14ac:dyDescent="0.3">
      <c r="B10" s="145" t="s">
        <v>74</v>
      </c>
      <c r="C10" s="146"/>
      <c r="D10" s="146"/>
      <c r="E10" s="146"/>
      <c r="F10" s="146"/>
      <c r="G10" s="153">
        <f>SUM(G6:G9)</f>
        <v>8967</v>
      </c>
      <c r="H10" s="153">
        <f t="shared" ref="H10:K10" si="0">SUM(H6:H9)</f>
        <v>12901</v>
      </c>
      <c r="I10" s="153">
        <f t="shared" si="0"/>
        <v>13884</v>
      </c>
      <c r="J10" s="153">
        <f t="shared" si="0"/>
        <v>14384</v>
      </c>
      <c r="K10" s="153">
        <f t="shared" si="0"/>
        <v>14374</v>
      </c>
    </row>
    <row r="11" spans="2:11" x14ac:dyDescent="0.3">
      <c r="G11" s="13"/>
      <c r="H11" s="13"/>
      <c r="I11" s="13"/>
      <c r="J11" s="13"/>
      <c r="K11" s="13"/>
    </row>
    <row r="12" spans="2:11" x14ac:dyDescent="0.3">
      <c r="B12" s="2" t="s">
        <v>189</v>
      </c>
      <c r="G12" s="13"/>
      <c r="H12" s="13"/>
      <c r="I12" s="13"/>
      <c r="J12" s="13"/>
      <c r="K12" s="13"/>
    </row>
    <row r="13" spans="2:11" x14ac:dyDescent="0.3">
      <c r="B13" s="142" t="str">
        <f>'Raw FS'!B13</f>
        <v>Trade Payables</v>
      </c>
      <c r="C13" s="142"/>
      <c r="D13" s="142"/>
      <c r="E13" s="142"/>
      <c r="F13" s="142"/>
      <c r="G13" s="152">
        <f>'Raw FS'!C13</f>
        <v>1746</v>
      </c>
      <c r="H13" s="152">
        <f>'Raw FS'!D13</f>
        <v>1549</v>
      </c>
      <c r="I13" s="152">
        <f>'Raw FS'!E13</f>
        <v>1565</v>
      </c>
      <c r="J13" s="152">
        <f>'Raw FS'!F13</f>
        <v>1923</v>
      </c>
      <c r="K13" s="152">
        <f>'Raw FS'!G13</f>
        <v>2160</v>
      </c>
    </row>
    <row r="14" spans="2:11" x14ac:dyDescent="0.3">
      <c r="B14" s="142" t="str">
        <f>'Raw FS'!B14</f>
        <v>Advance from Customers</v>
      </c>
      <c r="C14" s="142"/>
      <c r="D14" s="142"/>
      <c r="E14" s="142"/>
      <c r="F14" s="142"/>
      <c r="G14" s="152">
        <f>'Raw FS'!C14</f>
        <v>0</v>
      </c>
      <c r="H14" s="152">
        <f>'Raw FS'!D14</f>
        <v>5</v>
      </c>
      <c r="I14" s="152">
        <f>'Raw FS'!E14</f>
        <v>12</v>
      </c>
      <c r="J14" s="152">
        <f>'Raw FS'!F14</f>
        <v>17</v>
      </c>
      <c r="K14" s="152">
        <f>'Raw FS'!G14</f>
        <v>16</v>
      </c>
    </row>
    <row r="15" spans="2:11" x14ac:dyDescent="0.3">
      <c r="B15" s="142" t="str">
        <f>'Raw FS'!B15</f>
        <v>Other liability items</v>
      </c>
      <c r="C15" s="142"/>
      <c r="D15" s="142"/>
      <c r="E15" s="142"/>
      <c r="F15" s="142"/>
      <c r="G15" s="152">
        <f>'Raw FS'!C15</f>
        <v>1795</v>
      </c>
      <c r="H15" s="152">
        <f>'Raw FS'!D15</f>
        <v>1937</v>
      </c>
      <c r="I15" s="152">
        <f>'Raw FS'!E15</f>
        <v>1750</v>
      </c>
      <c r="J15" s="152">
        <f>'Raw FS'!F15</f>
        <v>1925</v>
      </c>
      <c r="K15" s="152">
        <f>'Raw FS'!G15</f>
        <v>2316</v>
      </c>
    </row>
    <row r="16" spans="2:11" x14ac:dyDescent="0.3">
      <c r="B16" s="145" t="s">
        <v>190</v>
      </c>
      <c r="C16" s="146"/>
      <c r="D16" s="146"/>
      <c r="E16" s="146"/>
      <c r="F16" s="146"/>
      <c r="G16" s="153">
        <f>SUM(G13:G15)</f>
        <v>3541</v>
      </c>
      <c r="H16" s="153">
        <f t="shared" ref="H16:K16" si="1">SUM(H13:H15)</f>
        <v>3491</v>
      </c>
      <c r="I16" s="153">
        <f t="shared" si="1"/>
        <v>3327</v>
      </c>
      <c r="J16" s="153">
        <f t="shared" si="1"/>
        <v>3865</v>
      </c>
      <c r="K16" s="153">
        <f t="shared" si="1"/>
        <v>4492</v>
      </c>
    </row>
    <row r="17" spans="1:11" ht="13.8" customHeight="1" x14ac:dyDescent="0.3">
      <c r="G17" s="13"/>
      <c r="H17" s="13"/>
      <c r="I17" s="13"/>
      <c r="J17" s="13"/>
      <c r="K17" s="13"/>
    </row>
    <row r="18" spans="1:11" ht="15" thickBot="1" x14ac:dyDescent="0.35">
      <c r="A18" s="2" t="s">
        <v>58</v>
      </c>
      <c r="B18" s="143" t="s">
        <v>191</v>
      </c>
      <c r="C18" s="144"/>
      <c r="D18" s="144"/>
      <c r="E18" s="144"/>
      <c r="F18" s="144"/>
      <c r="G18" s="155">
        <f>G10-G16</f>
        <v>5426</v>
      </c>
      <c r="H18" s="155">
        <f t="shared" ref="H18:K18" si="2">H10-H16</f>
        <v>9410</v>
      </c>
      <c r="I18" s="155">
        <f t="shared" si="2"/>
        <v>10557</v>
      </c>
      <c r="J18" s="155">
        <f t="shared" si="2"/>
        <v>10519</v>
      </c>
      <c r="K18" s="155">
        <f t="shared" si="2"/>
        <v>9882</v>
      </c>
    </row>
    <row r="19" spans="1:11" x14ac:dyDescent="0.3">
      <c r="G19" s="13"/>
      <c r="H19" s="13"/>
      <c r="I19" s="13"/>
      <c r="J19" s="13"/>
      <c r="K19" s="13"/>
    </row>
    <row r="20" spans="1:11" x14ac:dyDescent="0.3">
      <c r="B20" s="2" t="s">
        <v>192</v>
      </c>
      <c r="G20" s="13"/>
      <c r="H20" s="13"/>
      <c r="I20" s="13"/>
      <c r="J20" s="13"/>
      <c r="K20" s="13"/>
    </row>
    <row r="21" spans="1:11" x14ac:dyDescent="0.3">
      <c r="B21" s="142" t="str">
        <f>'Raw FS'!B19</f>
        <v>Land</v>
      </c>
      <c r="C21" s="142"/>
      <c r="D21" s="142"/>
      <c r="E21" s="142"/>
      <c r="F21" s="142"/>
      <c r="G21" s="152">
        <f>'Raw FS'!J19</f>
        <v>644</v>
      </c>
      <c r="H21" s="152">
        <f>'Raw FS'!K19</f>
        <v>644</v>
      </c>
      <c r="I21" s="152">
        <f>'Raw FS'!L19</f>
        <v>804</v>
      </c>
      <c r="J21" s="152">
        <f>'Raw FS'!M19</f>
        <v>1126</v>
      </c>
      <c r="K21" s="152">
        <f>'Raw FS'!N19</f>
        <v>1050</v>
      </c>
    </row>
    <row r="22" spans="1:11" x14ac:dyDescent="0.3">
      <c r="B22" s="142" t="str">
        <f>'Raw FS'!B20</f>
        <v>Building</v>
      </c>
      <c r="C22" s="142"/>
      <c r="D22" s="142"/>
      <c r="E22" s="142"/>
      <c r="F22" s="142"/>
      <c r="G22" s="152">
        <f>'Raw FS'!J20</f>
        <v>2249</v>
      </c>
      <c r="H22" s="152">
        <f>'Raw FS'!K20</f>
        <v>2325</v>
      </c>
      <c r="I22" s="152">
        <f>'Raw FS'!L20</f>
        <v>2883</v>
      </c>
      <c r="J22" s="152">
        <f>'Raw FS'!M20</f>
        <v>3390</v>
      </c>
      <c r="K22" s="152">
        <f>'Raw FS'!N20</f>
        <v>4136</v>
      </c>
    </row>
    <row r="23" spans="1:11" x14ac:dyDescent="0.3">
      <c r="B23" s="142" t="str">
        <f>'Raw FS'!B21</f>
        <v>Plant Machinery</v>
      </c>
      <c r="C23" s="142"/>
      <c r="D23" s="142"/>
      <c r="E23" s="142"/>
      <c r="F23" s="142"/>
      <c r="G23" s="152">
        <f>'Raw FS'!J21</f>
        <v>4340</v>
      </c>
      <c r="H23" s="152">
        <f>'Raw FS'!K21</f>
        <v>4531</v>
      </c>
      <c r="I23" s="152">
        <f>'Raw FS'!L21</f>
        <v>4825</v>
      </c>
      <c r="J23" s="152">
        <f>'Raw FS'!M21</f>
        <v>5422</v>
      </c>
      <c r="K23" s="152">
        <f>'Raw FS'!N21</f>
        <v>7576</v>
      </c>
    </row>
    <row r="24" spans="1:11" x14ac:dyDescent="0.3">
      <c r="B24" s="142" t="str">
        <f>'Raw FS'!B22</f>
        <v>Equipments</v>
      </c>
      <c r="C24" s="142"/>
      <c r="D24" s="142"/>
      <c r="E24" s="142"/>
      <c r="F24" s="142"/>
      <c r="G24" s="152">
        <f>'Raw FS'!J22</f>
        <v>243</v>
      </c>
      <c r="H24" s="152">
        <f>'Raw FS'!K22</f>
        <v>253</v>
      </c>
      <c r="I24" s="152">
        <f>'Raw FS'!L22</f>
        <v>270</v>
      </c>
      <c r="J24" s="152">
        <f>'Raw FS'!M22</f>
        <v>298</v>
      </c>
      <c r="K24" s="152">
        <f>'Raw FS'!N22</f>
        <v>325</v>
      </c>
    </row>
    <row r="25" spans="1:11" x14ac:dyDescent="0.3">
      <c r="B25" s="142" t="str">
        <f>'Raw FS'!B23</f>
        <v>Furniture n fittings</v>
      </c>
      <c r="C25" s="142"/>
      <c r="D25" s="142"/>
      <c r="E25" s="142"/>
      <c r="F25" s="142"/>
      <c r="G25" s="152">
        <f>'Raw FS'!J23</f>
        <v>99</v>
      </c>
      <c r="H25" s="152">
        <f>'Raw FS'!K23</f>
        <v>113</v>
      </c>
      <c r="I25" s="152">
        <f>'Raw FS'!L23</f>
        <v>146</v>
      </c>
      <c r="J25" s="152">
        <f>'Raw FS'!M23</f>
        <v>175</v>
      </c>
      <c r="K25" s="152">
        <f>'Raw FS'!N23</f>
        <v>203</v>
      </c>
    </row>
    <row r="26" spans="1:11" x14ac:dyDescent="0.3">
      <c r="B26" s="142" t="str">
        <f>'Raw FS'!B24</f>
        <v>Vehicles</v>
      </c>
      <c r="C26" s="142"/>
      <c r="D26" s="142"/>
      <c r="E26" s="142"/>
      <c r="F26" s="142"/>
      <c r="G26" s="152">
        <f>'Raw FS'!J24</f>
        <v>38</v>
      </c>
      <c r="H26" s="152">
        <f>'Raw FS'!K24</f>
        <v>32</v>
      </c>
      <c r="I26" s="152">
        <f>'Raw FS'!L24</f>
        <v>36</v>
      </c>
      <c r="J26" s="152">
        <f>'Raw FS'!M24</f>
        <v>40</v>
      </c>
      <c r="K26" s="152">
        <f>'Raw FS'!N24</f>
        <v>39</v>
      </c>
    </row>
    <row r="27" spans="1:11" x14ac:dyDescent="0.3">
      <c r="B27" s="142" t="str">
        <f>'Raw FS'!B25</f>
        <v>Intangible Assets</v>
      </c>
      <c r="C27" s="142"/>
      <c r="D27" s="142"/>
      <c r="E27" s="142"/>
      <c r="F27" s="142"/>
      <c r="G27" s="152">
        <f>'Raw FS'!J25</f>
        <v>476</v>
      </c>
      <c r="H27" s="152">
        <f>'Raw FS'!K25</f>
        <v>345</v>
      </c>
      <c r="I27" s="152">
        <f>'Raw FS'!L25</f>
        <v>422</v>
      </c>
      <c r="J27" s="152">
        <f>'Raw FS'!M25</f>
        <v>850</v>
      </c>
      <c r="K27" s="152">
        <f>'Raw FS'!N25</f>
        <v>827</v>
      </c>
    </row>
    <row r="28" spans="1:11" x14ac:dyDescent="0.3">
      <c r="B28" s="142" t="str">
        <f>'Raw FS'!B26</f>
        <v>Other fixed assets</v>
      </c>
      <c r="C28" s="142"/>
      <c r="D28" s="142"/>
      <c r="E28" s="142"/>
      <c r="F28" s="142"/>
      <c r="G28" s="152">
        <f>'Raw FS'!J26</f>
        <v>302</v>
      </c>
      <c r="H28" s="152">
        <f>'Raw FS'!K26</f>
        <v>294</v>
      </c>
      <c r="I28" s="152">
        <f>'Raw FS'!L26</f>
        <v>289</v>
      </c>
      <c r="J28" s="152">
        <f>'Raw FS'!M26</f>
        <v>321</v>
      </c>
      <c r="K28" s="152">
        <f>'Raw FS'!N26</f>
        <v>328</v>
      </c>
    </row>
    <row r="29" spans="1:11" ht="3" customHeight="1" x14ac:dyDescent="0.3">
      <c r="G29" s="13"/>
      <c r="H29" s="13"/>
      <c r="I29" s="13"/>
      <c r="J29" s="13"/>
      <c r="K29" s="13"/>
    </row>
    <row r="30" spans="1:11" x14ac:dyDescent="0.3">
      <c r="B30" s="145" t="str">
        <f>'Raw FS'!B27</f>
        <v>Gross Block</v>
      </c>
      <c r="C30" s="146"/>
      <c r="D30" s="146"/>
      <c r="E30" s="146"/>
      <c r="F30" s="146"/>
      <c r="G30" s="153">
        <f>SUM(G21:G29)</f>
        <v>8391</v>
      </c>
      <c r="H30" s="153">
        <f t="shared" ref="H30:K30" si="3">SUM(H21:H29)</f>
        <v>8537</v>
      </c>
      <c r="I30" s="153">
        <f t="shared" si="3"/>
        <v>9675</v>
      </c>
      <c r="J30" s="153">
        <f t="shared" si="3"/>
        <v>11622</v>
      </c>
      <c r="K30" s="153">
        <f t="shared" si="3"/>
        <v>14484</v>
      </c>
    </row>
    <row r="31" spans="1:11" x14ac:dyDescent="0.3">
      <c r="B31" s="181" t="str">
        <f>'Raw FS'!B28</f>
        <v>Accumulated Depreciation</v>
      </c>
      <c r="C31" s="147"/>
      <c r="D31" s="147"/>
      <c r="E31" s="147"/>
      <c r="F31" s="147"/>
      <c r="G31" s="154">
        <f>-('Raw FS'!J28)</f>
        <v>-2533</v>
      </c>
      <c r="H31" s="154">
        <f>-('Raw FS'!K28)</f>
        <v>-3019</v>
      </c>
      <c r="I31" s="154">
        <f>-('Raw FS'!L28)</f>
        <v>-3905</v>
      </c>
      <c r="J31" s="154">
        <f>-('Raw FS'!M28)</f>
        <v>-4475</v>
      </c>
      <c r="K31" s="154">
        <f>-('Raw FS'!N28)</f>
        <v>-5264</v>
      </c>
    </row>
    <row r="32" spans="1:11" ht="2.4" customHeight="1" x14ac:dyDescent="0.3">
      <c r="G32" s="13"/>
      <c r="H32" s="13"/>
      <c r="I32" s="13"/>
      <c r="J32" s="13"/>
      <c r="K32" s="13"/>
    </row>
    <row r="33" spans="1:11" ht="15" thickBot="1" x14ac:dyDescent="0.35">
      <c r="A33" s="2" t="s">
        <v>58</v>
      </c>
      <c r="B33" s="143" t="s">
        <v>193</v>
      </c>
      <c r="C33" s="144"/>
      <c r="D33" s="144"/>
      <c r="E33" s="144"/>
      <c r="F33" s="144"/>
      <c r="G33" s="155">
        <f>SUM(G30:G31)</f>
        <v>5858</v>
      </c>
      <c r="H33" s="155">
        <f>SUM(H30:H31)</f>
        <v>5518</v>
      </c>
      <c r="I33" s="155">
        <f>SUM(I30:I31)</f>
        <v>5770</v>
      </c>
      <c r="J33" s="155">
        <f>SUM(J30:J31)</f>
        <v>7147</v>
      </c>
      <c r="K33" s="155">
        <f>SUM(K30:K31)</f>
        <v>9220</v>
      </c>
    </row>
    <row r="34" spans="1:11" x14ac:dyDescent="0.3">
      <c r="B34" s="2"/>
      <c r="G34" s="13"/>
      <c r="H34" s="13"/>
      <c r="I34" s="13"/>
      <c r="J34" s="13"/>
      <c r="K34" s="13"/>
    </row>
    <row r="35" spans="1:11" x14ac:dyDescent="0.3">
      <c r="A35" s="2" t="s">
        <v>58</v>
      </c>
      <c r="B35" s="2" t="s">
        <v>194</v>
      </c>
      <c r="G35" s="158">
        <f>G33+G18</f>
        <v>11284</v>
      </c>
      <c r="H35" s="158">
        <f>H33+H18</f>
        <v>14928</v>
      </c>
      <c r="I35" s="158">
        <f>I33+I18</f>
        <v>16327</v>
      </c>
      <c r="J35" s="158">
        <f>J33+J18</f>
        <v>17666</v>
      </c>
      <c r="K35" s="158">
        <f>K33+K18</f>
        <v>19102</v>
      </c>
    </row>
    <row r="36" spans="1:11" x14ac:dyDescent="0.3">
      <c r="B36" s="2" t="s">
        <v>195</v>
      </c>
      <c r="G36" s="158">
        <f>IFERROR(HistoricalsFS!H27+HistoricalsFS!H21,0)</f>
        <v>4064.3300000000031</v>
      </c>
      <c r="H36" s="158">
        <f>IFERROR(HistoricalsFS!I27+HistoricalsFS!I21,0)</f>
        <v>3987.2499999999986</v>
      </c>
      <c r="I36" s="158">
        <f>IFERROR(HistoricalsFS!J27+HistoricalsFS!J21,0)</f>
        <v>5401.8199999999952</v>
      </c>
      <c r="J36" s="158">
        <f>IFERROR(HistoricalsFS!K27+HistoricalsFS!K21,0)</f>
        <v>6731.9800000000014</v>
      </c>
      <c r="K36" s="158">
        <f>IFERROR(HistoricalsFS!L27+HistoricalsFS!L21,0)</f>
        <v>4979.8700000000026</v>
      </c>
    </row>
    <row r="37" spans="1:11" ht="3" customHeight="1" x14ac:dyDescent="0.3">
      <c r="B37" s="2"/>
      <c r="G37" s="2"/>
      <c r="H37" s="2"/>
      <c r="I37" s="2"/>
      <c r="J37" s="2"/>
      <c r="K37" s="2"/>
    </row>
    <row r="38" spans="1:11" ht="15" thickBot="1" x14ac:dyDescent="0.35">
      <c r="B38" s="143" t="s">
        <v>196</v>
      </c>
      <c r="C38" s="144"/>
      <c r="D38" s="144"/>
      <c r="E38" s="144"/>
      <c r="F38" s="144"/>
      <c r="G38" s="150">
        <f>G36/G35</f>
        <v>0.3601852180077989</v>
      </c>
      <c r="H38" s="150">
        <f t="shared" ref="H38:K38" si="4">H36/H35</f>
        <v>0.26709874062165051</v>
      </c>
      <c r="I38" s="150">
        <f t="shared" si="4"/>
        <v>0.33085196300606329</v>
      </c>
      <c r="J38" s="150">
        <f t="shared" si="4"/>
        <v>0.38106985169251678</v>
      </c>
      <c r="K38" s="150">
        <f t="shared" si="4"/>
        <v>0.26069887969846101</v>
      </c>
    </row>
    <row r="41" spans="1:11" x14ac:dyDescent="0.3">
      <c r="A41" s="2" t="s">
        <v>58</v>
      </c>
      <c r="B41" s="138" t="s">
        <v>197</v>
      </c>
      <c r="C41" s="139"/>
      <c r="D41" s="139"/>
      <c r="E41" s="139"/>
      <c r="F41" s="139"/>
      <c r="G41" s="140">
        <f>IFERROR('Data Sheet'!$G$16,0)</f>
        <v>44286</v>
      </c>
      <c r="H41" s="140">
        <f>IFERROR('Data Sheet'!$H$16,0)</f>
        <v>44651</v>
      </c>
      <c r="I41" s="140">
        <f>IFERROR('Data Sheet'!$I$16,0)</f>
        <v>45016</v>
      </c>
      <c r="J41" s="140">
        <f>IFERROR('Data Sheet'!$J$16,0)</f>
        <v>45382</v>
      </c>
      <c r="K41" s="140">
        <f>IFERROR('Data Sheet'!$K$16,0)</f>
        <v>45747</v>
      </c>
    </row>
    <row r="43" spans="1:11" x14ac:dyDescent="0.3">
      <c r="B43" s="142" t="s">
        <v>198</v>
      </c>
      <c r="C43" s="142"/>
      <c r="D43" s="142"/>
      <c r="E43" s="142"/>
      <c r="F43" s="142"/>
      <c r="G43" s="152">
        <f>IFERROR(-SUM('Raw FS'!J53:J54),0)</f>
        <v>261</v>
      </c>
      <c r="H43" s="152">
        <f>IFERROR(-SUM('Raw FS'!K53:K54),0)</f>
        <v>511</v>
      </c>
      <c r="I43" s="152">
        <f>IFERROR(-SUM('Raw FS'!L53:L54),0)</f>
        <v>1420</v>
      </c>
      <c r="J43" s="152">
        <f>IFERROR(-SUM('Raw FS'!M53:M54),0)</f>
        <v>2491</v>
      </c>
      <c r="K43" s="152">
        <f>IFERROR(-SUM('Raw FS'!N53:N54),0)</f>
        <v>1820</v>
      </c>
    </row>
    <row r="44" spans="1:11" x14ac:dyDescent="0.3">
      <c r="B44" s="142" t="s">
        <v>199</v>
      </c>
      <c r="C44" s="142"/>
      <c r="D44" s="142"/>
      <c r="E44" s="142"/>
      <c r="F44" s="142"/>
      <c r="G44" s="152"/>
      <c r="H44" s="152">
        <f>H18-G18</f>
        <v>3984</v>
      </c>
      <c r="I44" s="152">
        <f t="shared" ref="I44:K44" si="5">I18-H18</f>
        <v>1147</v>
      </c>
      <c r="J44" s="152">
        <f t="shared" si="5"/>
        <v>-38</v>
      </c>
      <c r="K44" s="152">
        <f t="shared" si="5"/>
        <v>-637</v>
      </c>
    </row>
    <row r="45" spans="1:11" x14ac:dyDescent="0.3">
      <c r="G45" s="13"/>
      <c r="H45" s="13"/>
      <c r="I45" s="13"/>
      <c r="J45" s="13"/>
      <c r="K45" s="13"/>
    </row>
    <row r="46" spans="1:11" x14ac:dyDescent="0.3">
      <c r="B46" s="142" t="s">
        <v>195</v>
      </c>
      <c r="C46" s="142"/>
      <c r="D46" s="142"/>
      <c r="E46" s="142"/>
      <c r="F46" s="142"/>
      <c r="G46" s="152">
        <f>G36</f>
        <v>4064.3300000000031</v>
      </c>
      <c r="H46" s="152">
        <f t="shared" ref="H46:K46" si="6">H36</f>
        <v>3987.2499999999986</v>
      </c>
      <c r="I46" s="152">
        <f t="shared" si="6"/>
        <v>5401.8199999999952</v>
      </c>
      <c r="J46" s="152">
        <f t="shared" si="6"/>
        <v>6731.9800000000014</v>
      </c>
      <c r="K46" s="152">
        <f t="shared" si="6"/>
        <v>4979.8700000000026</v>
      </c>
    </row>
    <row r="47" spans="1:11" x14ac:dyDescent="0.3">
      <c r="B47" s="142" t="s">
        <v>200</v>
      </c>
      <c r="C47" s="142"/>
      <c r="D47" s="142"/>
      <c r="E47" s="142"/>
      <c r="F47" s="142"/>
      <c r="G47" s="148">
        <v>0.25</v>
      </c>
      <c r="H47" s="148">
        <v>0.25</v>
      </c>
      <c r="I47" s="148">
        <v>0.25</v>
      </c>
      <c r="J47" s="148">
        <v>0.25</v>
      </c>
      <c r="K47" s="148">
        <v>0.25</v>
      </c>
    </row>
    <row r="48" spans="1:11" x14ac:dyDescent="0.3">
      <c r="B48" s="142" t="s">
        <v>201</v>
      </c>
      <c r="C48" s="142"/>
      <c r="D48" s="142"/>
      <c r="E48" s="142"/>
      <c r="F48" s="142"/>
      <c r="G48" s="152">
        <f>G46*(1-G47)</f>
        <v>3048.2475000000022</v>
      </c>
      <c r="H48" s="152">
        <f t="shared" ref="H48:K48" si="7">H46*(1-H47)</f>
        <v>2990.4374999999991</v>
      </c>
      <c r="I48" s="152">
        <f t="shared" si="7"/>
        <v>4051.3649999999961</v>
      </c>
      <c r="J48" s="152">
        <f t="shared" si="7"/>
        <v>5048.9850000000006</v>
      </c>
      <c r="K48" s="152">
        <f t="shared" si="7"/>
        <v>3734.902500000002</v>
      </c>
    </row>
    <row r="50" spans="1:11" x14ac:dyDescent="0.3">
      <c r="B50" s="142" t="s">
        <v>202</v>
      </c>
      <c r="C50" s="142"/>
      <c r="D50" s="142"/>
      <c r="E50" s="142"/>
      <c r="F50" s="142"/>
      <c r="G50" s="142"/>
      <c r="H50" s="152">
        <f>H43+H44</f>
        <v>4495</v>
      </c>
      <c r="I50" s="152">
        <f t="shared" ref="I50:K50" si="8">I43+I44</f>
        <v>2567</v>
      </c>
      <c r="J50" s="152">
        <f t="shared" si="8"/>
        <v>2453</v>
      </c>
      <c r="K50" s="152">
        <f t="shared" si="8"/>
        <v>1183</v>
      </c>
    </row>
    <row r="52" spans="1:11" ht="15" thickBot="1" x14ac:dyDescent="0.35">
      <c r="A52" s="2"/>
      <c r="B52" s="143" t="s">
        <v>203</v>
      </c>
      <c r="C52" s="143"/>
      <c r="D52" s="143"/>
      <c r="E52" s="143"/>
      <c r="F52" s="143"/>
      <c r="G52" s="143"/>
      <c r="H52" s="150">
        <f>H50/H48</f>
        <v>1.503124542813552</v>
      </c>
      <c r="I52" s="150">
        <f t="shared" ref="I52:K52" si="9">I50/I48</f>
        <v>0.63361360924034305</v>
      </c>
      <c r="J52" s="150">
        <f t="shared" si="9"/>
        <v>0.48584022333201621</v>
      </c>
      <c r="K52" s="150">
        <f t="shared" si="9"/>
        <v>0.31674186943300375</v>
      </c>
    </row>
    <row r="54" spans="1:11" x14ac:dyDescent="0.3">
      <c r="J54" s="156" t="s">
        <v>204</v>
      </c>
      <c r="K54" s="157">
        <f>AVERAGE(H52:K52)</f>
        <v>0.73483006120472871</v>
      </c>
    </row>
    <row r="55" spans="1:11" x14ac:dyDescent="0.3">
      <c r="J55" s="156" t="s">
        <v>205</v>
      </c>
      <c r="K55" s="157">
        <f>MEDIAN(H52:K52)</f>
        <v>0.55972691628617965</v>
      </c>
    </row>
    <row r="57" spans="1:11" x14ac:dyDescent="0.3">
      <c r="A57" s="2" t="s">
        <v>58</v>
      </c>
      <c r="B57" s="138" t="s">
        <v>206</v>
      </c>
      <c r="C57" s="139"/>
      <c r="D57" s="139"/>
      <c r="E57" s="139"/>
      <c r="F57" s="139"/>
      <c r="G57" s="140">
        <f>IFERROR('Data Sheet'!$G$16,0)</f>
        <v>44286</v>
      </c>
      <c r="H57" s="140">
        <f>IFERROR('Data Sheet'!$H$16,0)</f>
        <v>44651</v>
      </c>
      <c r="I57" s="140">
        <f>IFERROR('Data Sheet'!$I$16,0)</f>
        <v>45016</v>
      </c>
      <c r="J57" s="140">
        <f>IFERROR('Data Sheet'!$J$16,0)</f>
        <v>45382</v>
      </c>
      <c r="K57" s="140">
        <f>IFERROR('Data Sheet'!$K$16,0)</f>
        <v>45747</v>
      </c>
    </row>
    <row r="59" spans="1:11" x14ac:dyDescent="0.3">
      <c r="B59" s="142" t="s">
        <v>203</v>
      </c>
      <c r="C59" s="142"/>
      <c r="D59" s="142"/>
      <c r="E59" s="142"/>
      <c r="F59" s="142"/>
      <c r="G59" s="142"/>
      <c r="H59" s="149">
        <f>H52</f>
        <v>1.503124542813552</v>
      </c>
      <c r="I59" s="149">
        <f t="shared" ref="I59:K59" si="10">I52</f>
        <v>0.63361360924034305</v>
      </c>
      <c r="J59" s="149">
        <f t="shared" si="10"/>
        <v>0.48584022333201621</v>
      </c>
      <c r="K59" s="149">
        <f t="shared" si="10"/>
        <v>0.31674186943300375</v>
      </c>
    </row>
    <row r="60" spans="1:11" x14ac:dyDescent="0.3">
      <c r="B60" s="142" t="s">
        <v>196</v>
      </c>
      <c r="C60" s="142"/>
      <c r="D60" s="142"/>
      <c r="E60" s="142"/>
      <c r="F60" s="142"/>
      <c r="G60" s="142"/>
      <c r="H60" s="149">
        <f>H38</f>
        <v>0.26709874062165051</v>
      </c>
      <c r="I60" s="149">
        <f t="shared" ref="I60:K60" si="11">I38</f>
        <v>0.33085196300606329</v>
      </c>
      <c r="J60" s="149">
        <f t="shared" si="11"/>
        <v>0.38106985169251678</v>
      </c>
      <c r="K60" s="149">
        <f t="shared" si="11"/>
        <v>0.26069887969846101</v>
      </c>
    </row>
    <row r="62" spans="1:11" ht="15" thickBot="1" x14ac:dyDescent="0.35">
      <c r="B62" s="143" t="s">
        <v>207</v>
      </c>
      <c r="C62" s="143"/>
      <c r="D62" s="143"/>
      <c r="E62" s="143"/>
      <c r="F62" s="143"/>
      <c r="G62" s="143"/>
      <c r="H62" s="151">
        <f>H60*H59</f>
        <v>0.40148267238299395</v>
      </c>
      <c r="I62" s="151">
        <f t="shared" ref="I62:K62" si="12">I60*I59</f>
        <v>0.20963230640452421</v>
      </c>
      <c r="J62" s="151">
        <f t="shared" si="12"/>
        <v>0.18513906185139065</v>
      </c>
      <c r="K62" s="151">
        <f t="shared" si="12"/>
        <v>8.257425051478029E-2</v>
      </c>
    </row>
    <row r="64" spans="1:11" x14ac:dyDescent="0.3">
      <c r="J64" s="156" t="s">
        <v>204</v>
      </c>
      <c r="K64" s="157">
        <f>AVERAGE(H62:K62)</f>
        <v>0.21970707278842228</v>
      </c>
    </row>
    <row r="65" spans="10:11" x14ac:dyDescent="0.3">
      <c r="J65" s="156" t="s">
        <v>205</v>
      </c>
      <c r="K65" s="157">
        <f>MEDIAN(H62:K62)</f>
        <v>0.19738568412795743</v>
      </c>
    </row>
  </sheetData>
  <pageMargins left="0.7" right="0.7" top="0.75" bottom="0.75" header="0.3" footer="0.3"/>
  <pageSetup orientation="portrait" r:id="rId1"/>
  <ignoredErrors>
    <ignoredError sqref="G43:K4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F19B-A6EB-4069-910E-7B842B92F211}">
  <dimension ref="B2:H29"/>
  <sheetViews>
    <sheetView showGridLines="0" workbookViewId="0">
      <selection activeCell="O22" sqref="O22"/>
    </sheetView>
  </sheetViews>
  <sheetFormatPr defaultRowHeight="14.4" x14ac:dyDescent="0.3"/>
  <cols>
    <col min="1" max="1" width="1.88671875" customWidth="1"/>
    <col min="3" max="3" width="7.6640625" bestFit="1" customWidth="1"/>
  </cols>
  <sheetData>
    <row r="2" spans="3:8" x14ac:dyDescent="0.3">
      <c r="C2" s="240" t="s">
        <v>277</v>
      </c>
      <c r="D2" s="240"/>
      <c r="E2" s="240"/>
    </row>
    <row r="3" spans="3:8" x14ac:dyDescent="0.3">
      <c r="C3" s="213" t="s">
        <v>109</v>
      </c>
      <c r="D3" s="214" t="s">
        <v>272</v>
      </c>
    </row>
    <row r="4" spans="3:8" x14ac:dyDescent="0.3">
      <c r="C4" s="9">
        <v>2000</v>
      </c>
      <c r="D4" s="212">
        <v>-0.14649999999999999</v>
      </c>
    </row>
    <row r="5" spans="3:8" x14ac:dyDescent="0.3">
      <c r="C5" s="9">
        <v>2001</v>
      </c>
      <c r="D5" s="212">
        <v>-0.1618</v>
      </c>
      <c r="F5" t="s">
        <v>273</v>
      </c>
      <c r="H5" s="4">
        <f>AVERAGE(D4:D29)</f>
        <v>0.1514923076923077</v>
      </c>
    </row>
    <row r="6" spans="3:8" ht="16.2" x14ac:dyDescent="0.3">
      <c r="C6" s="9">
        <v>2002</v>
      </c>
      <c r="D6" s="212">
        <v>3.2500000000000001E-2</v>
      </c>
      <c r="F6" t="s">
        <v>274</v>
      </c>
      <c r="G6" s="203"/>
      <c r="H6" s="205" t="s">
        <v>275</v>
      </c>
    </row>
    <row r="7" spans="3:8" ht="15" thickBot="1" x14ac:dyDescent="0.35">
      <c r="C7" s="9">
        <v>2003</v>
      </c>
      <c r="D7" s="212">
        <v>0.71900000000000008</v>
      </c>
      <c r="F7" s="233" t="s">
        <v>276</v>
      </c>
      <c r="G7" s="233"/>
      <c r="H7" s="234">
        <f>SUM(H5:H6)</f>
        <v>0.1514923076923077</v>
      </c>
    </row>
    <row r="8" spans="3:8" x14ac:dyDescent="0.3">
      <c r="C8" s="9">
        <v>2004</v>
      </c>
      <c r="D8" s="212">
        <v>0.10679999999999999</v>
      </c>
    </row>
    <row r="9" spans="3:8" x14ac:dyDescent="0.3">
      <c r="C9" s="9">
        <v>2005</v>
      </c>
      <c r="D9" s="212">
        <v>0.36340000000000006</v>
      </c>
    </row>
    <row r="10" spans="3:8" x14ac:dyDescent="0.3">
      <c r="C10" s="9">
        <v>2006</v>
      </c>
      <c r="D10" s="212">
        <v>0.39829999999999999</v>
      </c>
    </row>
    <row r="11" spans="3:8" x14ac:dyDescent="0.3">
      <c r="C11" s="9">
        <v>2007</v>
      </c>
      <c r="D11" s="212">
        <v>0.54770000000000008</v>
      </c>
    </row>
    <row r="12" spans="3:8" x14ac:dyDescent="0.3">
      <c r="C12" s="9">
        <v>2008</v>
      </c>
      <c r="D12" s="212">
        <v>-0.51790000000000003</v>
      </c>
    </row>
    <row r="13" spans="3:8" x14ac:dyDescent="0.3">
      <c r="C13" s="9">
        <v>2009</v>
      </c>
      <c r="D13" s="212">
        <v>0.75760000000000005</v>
      </c>
    </row>
    <row r="14" spans="3:8" x14ac:dyDescent="0.3">
      <c r="C14" s="9">
        <v>2010</v>
      </c>
      <c r="D14" s="212">
        <v>0.17949999999999999</v>
      </c>
    </row>
    <row r="15" spans="3:8" x14ac:dyDescent="0.3">
      <c r="C15" s="9">
        <v>2011</v>
      </c>
      <c r="D15" s="212">
        <v>-0.2462</v>
      </c>
    </row>
    <row r="16" spans="3:8" x14ac:dyDescent="0.3">
      <c r="C16" s="9">
        <v>2012</v>
      </c>
      <c r="D16" s="212">
        <v>0.27699999999999997</v>
      </c>
    </row>
    <row r="17" spans="2:4" x14ac:dyDescent="0.3">
      <c r="C17" s="9">
        <v>2013</v>
      </c>
      <c r="D17" s="212">
        <v>6.7599999999999993E-2</v>
      </c>
    </row>
    <row r="18" spans="2:4" x14ac:dyDescent="0.3">
      <c r="C18" s="9">
        <v>2014</v>
      </c>
      <c r="D18" s="212">
        <v>0.31390000000000001</v>
      </c>
    </row>
    <row r="19" spans="2:4" x14ac:dyDescent="0.3">
      <c r="C19" s="9">
        <v>2015</v>
      </c>
      <c r="D19" s="212">
        <v>-4.0599999999999997E-2</v>
      </c>
    </row>
    <row r="20" spans="2:4" x14ac:dyDescent="0.3">
      <c r="C20" s="9">
        <v>2016</v>
      </c>
      <c r="D20" s="212">
        <v>3.0099999999999998E-2</v>
      </c>
    </row>
    <row r="21" spans="2:4" x14ac:dyDescent="0.3">
      <c r="C21" s="9">
        <v>2017</v>
      </c>
      <c r="D21" s="212">
        <v>0.28649999999999998</v>
      </c>
    </row>
    <row r="22" spans="2:4" x14ac:dyDescent="0.3">
      <c r="C22" s="9">
        <v>2018</v>
      </c>
      <c r="D22" s="212">
        <v>3.15E-2</v>
      </c>
    </row>
    <row r="23" spans="2:4" x14ac:dyDescent="0.3">
      <c r="C23" s="9">
        <v>2019</v>
      </c>
      <c r="D23" s="212">
        <v>0.1202</v>
      </c>
    </row>
    <row r="24" spans="2:4" x14ac:dyDescent="0.3">
      <c r="C24" s="9">
        <v>2020</v>
      </c>
      <c r="D24" s="212">
        <v>0.14899999999999999</v>
      </c>
    </row>
    <row r="25" spans="2:4" x14ac:dyDescent="0.3">
      <c r="C25" s="9">
        <v>2021</v>
      </c>
      <c r="D25" s="212">
        <v>0.2412</v>
      </c>
    </row>
    <row r="26" spans="2:4" x14ac:dyDescent="0.3">
      <c r="C26" s="9">
        <v>2022</v>
      </c>
      <c r="D26" s="212">
        <v>4.3200000000000002E-2</v>
      </c>
    </row>
    <row r="27" spans="2:4" x14ac:dyDescent="0.3">
      <c r="C27" s="9">
        <v>2023</v>
      </c>
      <c r="D27" s="212">
        <v>0.19420000000000001</v>
      </c>
    </row>
    <row r="28" spans="2:4" x14ac:dyDescent="0.3">
      <c r="B28" s="9"/>
      <c r="C28" s="9">
        <v>2024</v>
      </c>
      <c r="D28" s="212">
        <v>8.7499999999999994E-2</v>
      </c>
    </row>
    <row r="29" spans="2:4" x14ac:dyDescent="0.3">
      <c r="C29" s="9">
        <v>2025</v>
      </c>
      <c r="D29" s="212">
        <v>0.1051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2EF1-499D-45F6-8D51-FE84350FC8AE}">
  <sheetPr>
    <tabColor rgb="FF002060"/>
  </sheetPr>
  <dimension ref="A1"/>
  <sheetViews>
    <sheetView showGridLines="0" zoomScaleNormal="100" workbookViewId="0">
      <selection activeCell="I35" sqref="I35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L11" sqref="L11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163" t="str">
        <f>IF(B2&lt;&gt;B3, "A NEW VERSION OF THE WORKSHEET IS AVAILABLE", "")</f>
        <v/>
      </c>
      <c r="F1" s="163"/>
      <c r="G1" s="163"/>
      <c r="H1" s="163"/>
      <c r="I1" s="163"/>
      <c r="J1" s="163"/>
      <c r="K1" s="163"/>
    </row>
    <row r="2" spans="1:11" x14ac:dyDescent="0.3">
      <c r="A2" s="1" t="s">
        <v>32</v>
      </c>
      <c r="B2" s="3">
        <v>2.1</v>
      </c>
      <c r="E2" s="164" t="s">
        <v>22</v>
      </c>
      <c r="F2" s="164"/>
      <c r="G2" s="164"/>
      <c r="H2" s="164"/>
      <c r="I2" s="164"/>
      <c r="J2" s="164"/>
      <c r="K2" s="164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95.929135016901967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2514.5</v>
      </c>
    </row>
    <row r="9" spans="1:11" x14ac:dyDescent="0.3">
      <c r="A9" s="3" t="s">
        <v>45</v>
      </c>
      <c r="B9">
        <v>241213.81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s="5" customFormat="1" x14ac:dyDescent="0.3">
      <c r="A17" s="5" t="s">
        <v>1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5" customFormat="1" x14ac:dyDescent="0.3">
      <c r="A18" s="3" t="s">
        <v>46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5" customFormat="1" x14ac:dyDescent="0.3">
      <c r="A19" s="3" t="s">
        <v>47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5" customFormat="1" x14ac:dyDescent="0.3">
      <c r="A20" s="3" t="s">
        <v>48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5" customFormat="1" x14ac:dyDescent="0.3">
      <c r="A21" s="3" t="s">
        <v>49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5" customFormat="1" x14ac:dyDescent="0.3">
      <c r="A22" s="3" t="s">
        <v>50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5" customFormat="1" x14ac:dyDescent="0.3">
      <c r="A23" s="3" t="s">
        <v>51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5" customFormat="1" x14ac:dyDescent="0.3">
      <c r="A24" s="3" t="s">
        <v>52</v>
      </c>
      <c r="B24">
        <v>-1779.69</v>
      </c>
      <c r="C24">
        <v>-2028.47</v>
      </c>
      <c r="D24">
        <v>171.45</v>
      </c>
      <c r="E24">
        <v>202.51</v>
      </c>
      <c r="F24">
        <v>579.95000000000005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5" customFormat="1" x14ac:dyDescent="0.3">
      <c r="A25" s="5" t="s">
        <v>4</v>
      </c>
      <c r="B25">
        <v>213.39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5" customFormat="1" x14ac:dyDescent="0.3">
      <c r="A26" s="5" t="s">
        <v>5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5" customFormat="1" x14ac:dyDescent="0.3">
      <c r="A27" s="5" t="s">
        <v>6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5" customFormat="1" x14ac:dyDescent="0.3">
      <c r="A28" s="5" t="s">
        <v>7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5" customFormat="1" x14ac:dyDescent="0.3">
      <c r="A29" s="5" t="s">
        <v>8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5" customFormat="1" x14ac:dyDescent="0.3">
      <c r="A30" s="5" t="s">
        <v>9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5" customFormat="1" x14ac:dyDescent="0.3">
      <c r="A31" s="5" t="s">
        <v>36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45199</v>
      </c>
      <c r="C41" s="6">
        <v>45291</v>
      </c>
      <c r="D41" s="6">
        <v>45382</v>
      </c>
      <c r="E41" s="6">
        <v>45473</v>
      </c>
      <c r="F41" s="6">
        <v>45565</v>
      </c>
      <c r="G41" s="6">
        <v>45657</v>
      </c>
      <c r="H41" s="6">
        <v>45747</v>
      </c>
      <c r="I41" s="6">
        <v>45838</v>
      </c>
      <c r="J41" s="6">
        <v>45930</v>
      </c>
      <c r="K41" s="6">
        <v>46022</v>
      </c>
    </row>
    <row r="42" spans="1:11" s="5" customFormat="1" x14ac:dyDescent="0.3">
      <c r="A42" s="5" t="s">
        <v>1</v>
      </c>
      <c r="B42">
        <v>8478.57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</row>
    <row r="43" spans="1:11" s="5" customFormat="1" x14ac:dyDescent="0.3">
      <c r="A43" s="5" t="s">
        <v>2</v>
      </c>
      <c r="B43">
        <v>6762.34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</row>
    <row r="44" spans="1:11" s="5" customFormat="1" x14ac:dyDescent="0.3">
      <c r="A44" s="5" t="s">
        <v>4</v>
      </c>
      <c r="B44">
        <v>194.33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</row>
    <row r="45" spans="1:11" s="5" customFormat="1" x14ac:dyDescent="0.3">
      <c r="A45" s="5" t="s">
        <v>5</v>
      </c>
      <c r="B45">
        <v>208.72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</row>
    <row r="46" spans="1:11" s="5" customFormat="1" x14ac:dyDescent="0.3">
      <c r="A46" s="5" t="s">
        <v>6</v>
      </c>
      <c r="B46">
        <v>50.9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</row>
    <row r="47" spans="1:11" s="5" customFormat="1" x14ac:dyDescent="0.3">
      <c r="A47" s="5" t="s">
        <v>7</v>
      </c>
      <c r="B47">
        <v>1650.94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</row>
    <row r="48" spans="1:11" s="5" customFormat="1" x14ac:dyDescent="0.3">
      <c r="A48" s="5" t="s">
        <v>8</v>
      </c>
      <c r="B48">
        <v>418.55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</row>
    <row r="49" spans="1:11" s="5" customFormat="1" x14ac:dyDescent="0.3">
      <c r="A49" s="5" t="s">
        <v>9</v>
      </c>
      <c r="B49">
        <v>1205.42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</row>
    <row r="50" spans="1:11" x14ac:dyDescent="0.3">
      <c r="A50" s="5" t="s">
        <v>3</v>
      </c>
      <c r="B50">
        <v>1716.23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">
      <c r="A57" s="5" t="s">
        <v>11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5" t="s">
        <v>12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">
      <c r="A59" s="5" t="s">
        <v>37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">
      <c r="A60" s="5" t="s">
        <v>38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3">
      <c r="A61" s="1" t="s">
        <v>13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">
      <c r="A62" s="5" t="s">
        <v>14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">
      <c r="A63" s="5" t="s">
        <v>15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">
      <c r="A64" s="5" t="s">
        <v>16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">
      <c r="A65" s="5" t="s">
        <v>39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3">
      <c r="A66" s="1" t="s">
        <v>13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5" customFormat="1" x14ac:dyDescent="0.3">
      <c r="A67" s="5" t="s">
        <v>44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">
      <c r="A68" s="5" t="s">
        <v>30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">
      <c r="A69" s="3" t="s">
        <v>53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">
      <c r="A70" s="3" t="s">
        <v>40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3" t="s">
        <v>41</v>
      </c>
      <c r="D71"/>
      <c r="J71"/>
    </row>
    <row r="72" spans="1:11" x14ac:dyDescent="0.3">
      <c r="A72" s="3" t="s">
        <v>54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s="1" customFormat="1" x14ac:dyDescent="0.3">
      <c r="A82" s="5" t="s">
        <v>18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5" customFormat="1" x14ac:dyDescent="0.3">
      <c r="A83" s="5" t="s">
        <v>19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5" customFormat="1" x14ac:dyDescent="0.3">
      <c r="A84" s="5" t="s">
        <v>20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3">
      <c r="A85" s="5" t="s">
        <v>21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43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11">
        <v>95.92</v>
      </c>
      <c r="C93" s="11">
        <v>95.92</v>
      </c>
      <c r="D93" s="11">
        <v>95.92</v>
      </c>
      <c r="E93" s="11">
        <v>95.92</v>
      </c>
      <c r="F93" s="11">
        <v>95.92</v>
      </c>
      <c r="G93" s="11">
        <v>95.92</v>
      </c>
      <c r="H93" s="11">
        <v>95.92</v>
      </c>
      <c r="I93" s="11">
        <v>95.92</v>
      </c>
      <c r="J93" s="11">
        <v>95.92</v>
      </c>
      <c r="K93" s="1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0937-0EC4-488D-A303-A94D38D7C33F}">
  <dimension ref="A1:O84"/>
  <sheetViews>
    <sheetView showGridLines="0" zoomScale="112" zoomScaleNormal="112" workbookViewId="0">
      <pane ySplit="2" topLeftCell="A37" activePane="bottomLeft" state="frozen"/>
      <selection pane="bottomLeft" activeCell="Q46" sqref="Q46"/>
    </sheetView>
  </sheetViews>
  <sheetFormatPr defaultRowHeight="14.4" x14ac:dyDescent="0.3"/>
  <cols>
    <col min="1" max="1" width="1.88671875" customWidth="1"/>
    <col min="2" max="2" width="29.5546875" style="9" bestFit="1" customWidth="1"/>
    <col min="3" max="5" width="12.109375" bestFit="1" customWidth="1"/>
    <col min="6" max="10" width="13.88671875" bestFit="1" customWidth="1"/>
    <col min="11" max="15" width="12.109375" bestFit="1" customWidth="1"/>
  </cols>
  <sheetData>
    <row r="1" spans="2:15" x14ac:dyDescent="0.3">
      <c r="O1" s="112"/>
    </row>
    <row r="2" spans="2:15" x14ac:dyDescent="0.3">
      <c r="B2" s="113" t="s">
        <v>186</v>
      </c>
      <c r="C2" s="114">
        <v>41699</v>
      </c>
      <c r="D2" s="114">
        <v>42064</v>
      </c>
      <c r="E2" s="114">
        <v>42430</v>
      </c>
      <c r="F2" s="114">
        <v>42795</v>
      </c>
      <c r="G2" s="114">
        <v>43160</v>
      </c>
      <c r="H2" s="114">
        <v>43525</v>
      </c>
      <c r="I2" s="114">
        <v>43891</v>
      </c>
      <c r="J2" s="114">
        <v>44256</v>
      </c>
      <c r="K2" s="114">
        <v>44621</v>
      </c>
      <c r="L2" s="114">
        <v>44986</v>
      </c>
      <c r="M2" s="114">
        <v>45352</v>
      </c>
      <c r="N2" s="114">
        <v>45717</v>
      </c>
      <c r="O2" s="111"/>
    </row>
    <row r="3" spans="2:15" x14ac:dyDescent="0.3">
      <c r="B3" s="115"/>
      <c r="C3" s="137">
        <v>41699</v>
      </c>
      <c r="D3" s="137">
        <v>42064</v>
      </c>
      <c r="E3" s="137">
        <v>42430</v>
      </c>
      <c r="F3" s="137">
        <v>42795</v>
      </c>
      <c r="G3" s="137">
        <v>43160</v>
      </c>
      <c r="H3" s="137">
        <v>43525</v>
      </c>
      <c r="I3" s="137">
        <v>43891</v>
      </c>
      <c r="J3" s="137">
        <v>44256</v>
      </c>
      <c r="K3" s="137">
        <v>44621</v>
      </c>
      <c r="L3" s="137">
        <v>44986</v>
      </c>
      <c r="M3" s="137">
        <v>45352</v>
      </c>
      <c r="N3" s="137">
        <v>45717</v>
      </c>
      <c r="O3" s="111"/>
    </row>
    <row r="4" spans="2:15" x14ac:dyDescent="0.3">
      <c r="B4" s="116" t="s">
        <v>158</v>
      </c>
      <c r="C4" s="136">
        <v>96</v>
      </c>
      <c r="D4" s="136">
        <v>96</v>
      </c>
      <c r="E4" s="136">
        <v>96</v>
      </c>
      <c r="F4" s="136">
        <v>96</v>
      </c>
      <c r="G4" s="136">
        <v>96</v>
      </c>
      <c r="H4" s="136">
        <v>96</v>
      </c>
      <c r="I4" s="136">
        <v>96</v>
      </c>
      <c r="J4" s="136">
        <v>96</v>
      </c>
      <c r="K4" s="136">
        <v>96</v>
      </c>
      <c r="L4" s="136">
        <v>96</v>
      </c>
      <c r="M4" s="136">
        <v>96</v>
      </c>
      <c r="N4" s="136">
        <v>96</v>
      </c>
      <c r="O4" s="117"/>
    </row>
    <row r="5" spans="2:15" x14ac:dyDescent="0.3">
      <c r="B5" s="116" t="s">
        <v>12</v>
      </c>
      <c r="C5" s="121">
        <v>3943</v>
      </c>
      <c r="D5" s="121">
        <v>4646</v>
      </c>
      <c r="E5" s="121">
        <v>6429</v>
      </c>
      <c r="F5" s="121">
        <v>7508</v>
      </c>
      <c r="G5" s="121">
        <v>8314</v>
      </c>
      <c r="H5" s="121">
        <v>9375</v>
      </c>
      <c r="I5" s="121">
        <v>10034</v>
      </c>
      <c r="J5" s="121">
        <v>12710</v>
      </c>
      <c r="K5" s="121">
        <v>13716</v>
      </c>
      <c r="L5" s="121">
        <v>15896</v>
      </c>
      <c r="M5" s="121">
        <v>18632</v>
      </c>
      <c r="N5" s="121">
        <v>19304</v>
      </c>
      <c r="O5" s="117"/>
    </row>
    <row r="6" spans="2:15" x14ac:dyDescent="0.3">
      <c r="B6" s="118" t="s">
        <v>182</v>
      </c>
      <c r="C6" s="122">
        <v>249</v>
      </c>
      <c r="D6" s="122">
        <v>418</v>
      </c>
      <c r="E6" s="122">
        <v>323</v>
      </c>
      <c r="F6" s="122">
        <v>560</v>
      </c>
      <c r="G6" s="122">
        <v>533</v>
      </c>
      <c r="H6" s="122">
        <v>1320</v>
      </c>
      <c r="I6" s="122">
        <v>1118</v>
      </c>
      <c r="J6" s="122">
        <v>1093</v>
      </c>
      <c r="K6" s="122">
        <v>1587</v>
      </c>
      <c r="L6" s="122">
        <v>1933</v>
      </c>
      <c r="M6" s="122">
        <v>2474</v>
      </c>
      <c r="N6" s="122">
        <v>2290</v>
      </c>
      <c r="O6" s="119"/>
    </row>
    <row r="7" spans="2:15" x14ac:dyDescent="0.3">
      <c r="B7" s="120" t="s">
        <v>159</v>
      </c>
      <c r="C7" s="121">
        <v>41</v>
      </c>
      <c r="D7" s="121">
        <v>78</v>
      </c>
      <c r="E7" s="121">
        <v>73</v>
      </c>
      <c r="F7" s="121">
        <v>41</v>
      </c>
      <c r="G7" s="121">
        <v>28</v>
      </c>
      <c r="H7" s="121">
        <v>19</v>
      </c>
      <c r="I7" s="121">
        <v>19</v>
      </c>
      <c r="J7" s="121">
        <v>15</v>
      </c>
      <c r="K7" s="121">
        <v>45</v>
      </c>
      <c r="L7" s="121">
        <v>76</v>
      </c>
      <c r="M7" s="121">
        <v>54</v>
      </c>
      <c r="N7" s="121">
        <v>260</v>
      </c>
      <c r="O7" s="117"/>
    </row>
    <row r="8" spans="2:15" x14ac:dyDescent="0.3">
      <c r="B8" s="120" t="s">
        <v>160</v>
      </c>
      <c r="C8" s="121">
        <v>199</v>
      </c>
      <c r="D8" s="121">
        <v>332</v>
      </c>
      <c r="E8" s="121">
        <v>231</v>
      </c>
      <c r="F8" s="121">
        <v>504</v>
      </c>
      <c r="G8" s="121">
        <v>492</v>
      </c>
      <c r="H8" s="121">
        <v>597</v>
      </c>
      <c r="I8" s="121">
        <v>321</v>
      </c>
      <c r="J8" s="121">
        <v>326</v>
      </c>
      <c r="K8" s="121">
        <v>731</v>
      </c>
      <c r="L8" s="121">
        <v>896</v>
      </c>
      <c r="M8" s="121">
        <v>1053</v>
      </c>
      <c r="N8" s="121">
        <v>604</v>
      </c>
      <c r="O8" s="117"/>
    </row>
    <row r="9" spans="2:15" x14ac:dyDescent="0.3">
      <c r="B9" s="120" t="s">
        <v>161</v>
      </c>
      <c r="C9" s="121">
        <v>0</v>
      </c>
      <c r="D9" s="121">
        <v>0</v>
      </c>
      <c r="E9" s="121">
        <v>0</v>
      </c>
      <c r="F9" s="121">
        <v>0</v>
      </c>
      <c r="G9" s="121">
        <v>0</v>
      </c>
      <c r="H9" s="121">
        <v>693</v>
      </c>
      <c r="I9" s="121">
        <v>764</v>
      </c>
      <c r="J9" s="121">
        <v>745</v>
      </c>
      <c r="K9" s="121">
        <v>811</v>
      </c>
      <c r="L9" s="121">
        <v>960</v>
      </c>
      <c r="M9" s="121">
        <v>1367</v>
      </c>
      <c r="N9" s="121">
        <v>1427</v>
      </c>
      <c r="O9" s="117"/>
    </row>
    <row r="10" spans="2:15" x14ac:dyDescent="0.3">
      <c r="B10" s="120" t="s">
        <v>162</v>
      </c>
      <c r="C10" s="121">
        <v>9</v>
      </c>
      <c r="D10" s="121">
        <v>8</v>
      </c>
      <c r="E10" s="121">
        <v>20</v>
      </c>
      <c r="F10" s="121">
        <v>15</v>
      </c>
      <c r="G10" s="121">
        <v>13</v>
      </c>
      <c r="H10" s="121">
        <v>11</v>
      </c>
      <c r="I10" s="121">
        <v>15</v>
      </c>
      <c r="J10" s="121">
        <v>8</v>
      </c>
      <c r="K10" s="121">
        <v>0</v>
      </c>
      <c r="L10" s="121">
        <v>0</v>
      </c>
      <c r="M10" s="121">
        <v>0</v>
      </c>
      <c r="N10" s="121">
        <v>0</v>
      </c>
      <c r="O10" s="117"/>
    </row>
    <row r="11" spans="2:15" x14ac:dyDescent="0.3">
      <c r="B11" s="120" t="s">
        <v>183</v>
      </c>
      <c r="C11" s="121">
        <v>3787</v>
      </c>
      <c r="D11" s="121">
        <v>3754</v>
      </c>
      <c r="E11" s="121">
        <v>3711</v>
      </c>
      <c r="F11" s="121">
        <v>4241</v>
      </c>
      <c r="G11" s="121">
        <v>4820</v>
      </c>
      <c r="H11" s="121">
        <v>5459</v>
      </c>
      <c r="I11" s="121">
        <v>4889</v>
      </c>
      <c r="J11" s="121">
        <v>6456</v>
      </c>
      <c r="K11" s="121">
        <v>7560</v>
      </c>
      <c r="L11" s="121">
        <v>7854</v>
      </c>
      <c r="M11" s="121">
        <v>8698</v>
      </c>
      <c r="N11" s="121">
        <v>8665</v>
      </c>
      <c r="O11" s="117"/>
    </row>
    <row r="12" spans="2:15" x14ac:dyDescent="0.3">
      <c r="B12" s="118" t="s">
        <v>163</v>
      </c>
      <c r="C12" s="122">
        <v>246</v>
      </c>
      <c r="D12" s="122">
        <v>264</v>
      </c>
      <c r="E12" s="122">
        <v>384</v>
      </c>
      <c r="F12" s="122">
        <v>375</v>
      </c>
      <c r="G12" s="122">
        <v>328</v>
      </c>
      <c r="H12" s="122">
        <v>361</v>
      </c>
      <c r="I12" s="122">
        <v>404</v>
      </c>
      <c r="J12" s="122">
        <v>423</v>
      </c>
      <c r="K12" s="122">
        <v>388</v>
      </c>
      <c r="L12" s="122">
        <v>454</v>
      </c>
      <c r="M12" s="122">
        <v>695</v>
      </c>
      <c r="N12" s="122">
        <v>659</v>
      </c>
      <c r="O12" s="119"/>
    </row>
    <row r="13" spans="2:15" x14ac:dyDescent="0.3">
      <c r="B13" s="120" t="s">
        <v>164</v>
      </c>
      <c r="C13" s="121">
        <v>1746</v>
      </c>
      <c r="D13" s="121">
        <v>1549</v>
      </c>
      <c r="E13" s="121">
        <v>1565</v>
      </c>
      <c r="F13" s="121">
        <v>1923</v>
      </c>
      <c r="G13" s="121">
        <v>2160</v>
      </c>
      <c r="H13" s="121">
        <v>2394</v>
      </c>
      <c r="I13" s="121">
        <v>2137</v>
      </c>
      <c r="J13" s="121">
        <v>3379</v>
      </c>
      <c r="K13" s="121">
        <v>4164</v>
      </c>
      <c r="L13" s="121">
        <v>3635</v>
      </c>
      <c r="M13" s="121">
        <v>3831</v>
      </c>
      <c r="N13" s="121">
        <v>3848</v>
      </c>
      <c r="O13" s="117"/>
    </row>
    <row r="14" spans="2:15" x14ac:dyDescent="0.3">
      <c r="B14" s="120" t="s">
        <v>165</v>
      </c>
      <c r="C14" s="121">
        <v>0</v>
      </c>
      <c r="D14" s="121">
        <v>5</v>
      </c>
      <c r="E14" s="121">
        <v>12</v>
      </c>
      <c r="F14" s="121">
        <v>17</v>
      </c>
      <c r="G14" s="121">
        <v>16</v>
      </c>
      <c r="H14" s="121">
        <v>13</v>
      </c>
      <c r="I14" s="121">
        <v>29</v>
      </c>
      <c r="J14" s="121">
        <v>41</v>
      </c>
      <c r="K14" s="121">
        <v>76</v>
      </c>
      <c r="L14" s="121">
        <v>108</v>
      </c>
      <c r="M14" s="121">
        <v>154</v>
      </c>
      <c r="N14" s="121">
        <v>173</v>
      </c>
      <c r="O14" s="117"/>
    </row>
    <row r="15" spans="2:15" x14ac:dyDescent="0.3">
      <c r="B15" s="120" t="s">
        <v>166</v>
      </c>
      <c r="C15" s="121">
        <v>1795</v>
      </c>
      <c r="D15" s="121">
        <v>1937</v>
      </c>
      <c r="E15" s="121">
        <v>1750</v>
      </c>
      <c r="F15" s="121">
        <v>1925</v>
      </c>
      <c r="G15" s="121">
        <v>2316</v>
      </c>
      <c r="H15" s="121">
        <v>2690</v>
      </c>
      <c r="I15" s="121">
        <v>2320</v>
      </c>
      <c r="J15" s="121">
        <v>2613</v>
      </c>
      <c r="K15" s="121">
        <v>2932</v>
      </c>
      <c r="L15" s="121">
        <v>3657</v>
      </c>
      <c r="M15" s="121">
        <v>4017</v>
      </c>
      <c r="N15" s="121">
        <v>3985</v>
      </c>
      <c r="O15" s="117"/>
    </row>
    <row r="16" spans="2:15" ht="15" thickBot="1" x14ac:dyDescent="0.35">
      <c r="B16" s="166" t="s">
        <v>73</v>
      </c>
      <c r="C16" s="167">
        <v>8075</v>
      </c>
      <c r="D16" s="167">
        <v>8914</v>
      </c>
      <c r="E16" s="167">
        <v>10559</v>
      </c>
      <c r="F16" s="167">
        <v>12405</v>
      </c>
      <c r="G16" s="167">
        <v>13763</v>
      </c>
      <c r="H16" s="167">
        <v>16249</v>
      </c>
      <c r="I16" s="167">
        <v>16138</v>
      </c>
      <c r="J16" s="167">
        <v>20355</v>
      </c>
      <c r="K16" s="167">
        <v>22958</v>
      </c>
      <c r="L16" s="167">
        <v>25779</v>
      </c>
      <c r="M16" s="167">
        <v>29901</v>
      </c>
      <c r="N16" s="167">
        <v>30355</v>
      </c>
    </row>
    <row r="17" spans="2:15" x14ac:dyDescent="0.3">
      <c r="O17" s="117"/>
    </row>
    <row r="18" spans="2:15" x14ac:dyDescent="0.3">
      <c r="B18" s="168" t="s">
        <v>184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19"/>
    </row>
    <row r="19" spans="2:15" x14ac:dyDescent="0.3">
      <c r="B19" s="118" t="s">
        <v>167</v>
      </c>
      <c r="C19" s="122">
        <v>247</v>
      </c>
      <c r="D19" s="122">
        <v>251</v>
      </c>
      <c r="E19" s="122">
        <v>429</v>
      </c>
      <c r="F19" s="122">
        <v>408</v>
      </c>
      <c r="G19" s="122">
        <v>586</v>
      </c>
      <c r="H19" s="122">
        <v>605</v>
      </c>
      <c r="I19" s="122">
        <v>640</v>
      </c>
      <c r="J19" s="122">
        <v>644</v>
      </c>
      <c r="K19" s="122">
        <v>644</v>
      </c>
      <c r="L19" s="122">
        <v>804</v>
      </c>
      <c r="M19" s="122">
        <v>1126</v>
      </c>
      <c r="N19" s="122">
        <v>1050</v>
      </c>
      <c r="O19" s="119"/>
    </row>
    <row r="20" spans="2:15" x14ac:dyDescent="0.3">
      <c r="B20" s="118" t="s">
        <v>168</v>
      </c>
      <c r="C20" s="122">
        <v>931</v>
      </c>
      <c r="D20" s="122">
        <v>962</v>
      </c>
      <c r="E20" s="122">
        <v>923</v>
      </c>
      <c r="F20" s="122">
        <v>931</v>
      </c>
      <c r="G20" s="122">
        <v>957</v>
      </c>
      <c r="H20" s="122">
        <v>2402</v>
      </c>
      <c r="I20" s="122">
        <v>2257</v>
      </c>
      <c r="J20" s="122">
        <v>2249</v>
      </c>
      <c r="K20" s="122">
        <v>2325</v>
      </c>
      <c r="L20" s="122">
        <v>2883</v>
      </c>
      <c r="M20" s="122">
        <v>3390</v>
      </c>
      <c r="N20" s="122">
        <v>4136</v>
      </c>
      <c r="O20" s="119"/>
    </row>
    <row r="21" spans="2:15" x14ac:dyDescent="0.3">
      <c r="B21" s="120" t="s">
        <v>169</v>
      </c>
      <c r="C21" s="121">
        <v>2054</v>
      </c>
      <c r="D21" s="121">
        <v>2132</v>
      </c>
      <c r="E21" s="121">
        <v>1793</v>
      </c>
      <c r="F21" s="121">
        <v>1980</v>
      </c>
      <c r="G21" s="121">
        <v>2157</v>
      </c>
      <c r="H21" s="121">
        <v>4006</v>
      </c>
      <c r="I21" s="121">
        <v>4208</v>
      </c>
      <c r="J21" s="121">
        <v>4340</v>
      </c>
      <c r="K21" s="121">
        <v>4531</v>
      </c>
      <c r="L21" s="121">
        <v>4825</v>
      </c>
      <c r="M21" s="121">
        <v>5422</v>
      </c>
      <c r="N21" s="121">
        <v>7576</v>
      </c>
      <c r="O21" s="117"/>
    </row>
    <row r="22" spans="2:15" x14ac:dyDescent="0.3">
      <c r="B22" s="120" t="s">
        <v>170</v>
      </c>
      <c r="C22" s="121">
        <v>155</v>
      </c>
      <c r="D22" s="121">
        <v>171</v>
      </c>
      <c r="E22" s="121">
        <v>97</v>
      </c>
      <c r="F22" s="121">
        <v>119</v>
      </c>
      <c r="G22" s="121">
        <v>200</v>
      </c>
      <c r="H22" s="121">
        <v>221</v>
      </c>
      <c r="I22" s="121">
        <v>241</v>
      </c>
      <c r="J22" s="121">
        <v>243</v>
      </c>
      <c r="K22" s="121">
        <v>253</v>
      </c>
      <c r="L22" s="121">
        <v>270</v>
      </c>
      <c r="M22" s="121">
        <v>298</v>
      </c>
      <c r="N22" s="121">
        <v>325</v>
      </c>
      <c r="O22" s="117"/>
    </row>
    <row r="23" spans="2:15" x14ac:dyDescent="0.3">
      <c r="B23" s="120" t="s">
        <v>171</v>
      </c>
      <c r="C23" s="121">
        <v>71</v>
      </c>
      <c r="D23" s="121">
        <v>83</v>
      </c>
      <c r="E23" s="121">
        <v>49</v>
      </c>
      <c r="F23" s="121">
        <v>59</v>
      </c>
      <c r="G23" s="121">
        <v>72</v>
      </c>
      <c r="H23" s="121">
        <v>88</v>
      </c>
      <c r="I23" s="121">
        <v>94</v>
      </c>
      <c r="J23" s="121">
        <v>99</v>
      </c>
      <c r="K23" s="121">
        <v>113</v>
      </c>
      <c r="L23" s="121">
        <v>146</v>
      </c>
      <c r="M23" s="121">
        <v>175</v>
      </c>
      <c r="N23" s="121">
        <v>203</v>
      </c>
      <c r="O23" s="117"/>
    </row>
    <row r="24" spans="2:15" x14ac:dyDescent="0.3">
      <c r="B24" s="120" t="s">
        <v>172</v>
      </c>
      <c r="C24" s="121">
        <v>14</v>
      </c>
      <c r="D24" s="121">
        <v>18</v>
      </c>
      <c r="E24" s="121">
        <v>11</v>
      </c>
      <c r="F24" s="121">
        <v>14</v>
      </c>
      <c r="G24" s="121">
        <v>27</v>
      </c>
      <c r="H24" s="121">
        <v>47</v>
      </c>
      <c r="I24" s="121">
        <v>43</v>
      </c>
      <c r="J24" s="121">
        <v>38</v>
      </c>
      <c r="K24" s="121">
        <v>32</v>
      </c>
      <c r="L24" s="121">
        <v>36</v>
      </c>
      <c r="M24" s="121">
        <v>40</v>
      </c>
      <c r="N24" s="121">
        <v>39</v>
      </c>
      <c r="O24" s="117"/>
    </row>
    <row r="25" spans="2:15" x14ac:dyDescent="0.3">
      <c r="B25" s="120" t="s">
        <v>173</v>
      </c>
      <c r="C25" s="121">
        <v>203</v>
      </c>
      <c r="D25" s="121">
        <v>351</v>
      </c>
      <c r="E25" s="121">
        <v>339</v>
      </c>
      <c r="F25" s="121">
        <v>276</v>
      </c>
      <c r="G25" s="121">
        <v>468</v>
      </c>
      <c r="H25" s="121">
        <v>512</v>
      </c>
      <c r="I25" s="121">
        <v>505</v>
      </c>
      <c r="J25" s="121">
        <v>476</v>
      </c>
      <c r="K25" s="121">
        <v>345</v>
      </c>
      <c r="L25" s="121">
        <v>422</v>
      </c>
      <c r="M25" s="121">
        <v>850</v>
      </c>
      <c r="N25" s="121">
        <v>827</v>
      </c>
      <c r="O25" s="117"/>
    </row>
    <row r="26" spans="2:15" x14ac:dyDescent="0.3">
      <c r="B26" s="120" t="s">
        <v>174</v>
      </c>
      <c r="C26" s="121">
        <v>128</v>
      </c>
      <c r="D26" s="121">
        <v>145</v>
      </c>
      <c r="E26" s="121">
        <v>103</v>
      </c>
      <c r="F26" s="121">
        <v>128</v>
      </c>
      <c r="G26" s="121">
        <v>238</v>
      </c>
      <c r="H26" s="121">
        <v>261</v>
      </c>
      <c r="I26" s="121">
        <v>293</v>
      </c>
      <c r="J26" s="121">
        <v>302</v>
      </c>
      <c r="K26" s="121">
        <v>294</v>
      </c>
      <c r="L26" s="121">
        <v>289</v>
      </c>
      <c r="M26" s="121">
        <v>321</v>
      </c>
      <c r="N26" s="121">
        <v>328</v>
      </c>
      <c r="O26" s="117"/>
    </row>
    <row r="27" spans="2:15" x14ac:dyDescent="0.3">
      <c r="B27" s="120" t="s">
        <v>175</v>
      </c>
      <c r="C27" s="121">
        <v>3804</v>
      </c>
      <c r="D27" s="121">
        <v>4112</v>
      </c>
      <c r="E27" s="121">
        <v>3744</v>
      </c>
      <c r="F27" s="121">
        <v>3914</v>
      </c>
      <c r="G27" s="121">
        <v>4705</v>
      </c>
      <c r="H27" s="121">
        <v>8141</v>
      </c>
      <c r="I27" s="121">
        <v>8282</v>
      </c>
      <c r="J27" s="121">
        <v>8392</v>
      </c>
      <c r="K27" s="121">
        <v>8538</v>
      </c>
      <c r="L27" s="121">
        <v>9676</v>
      </c>
      <c r="M27" s="121">
        <v>11622</v>
      </c>
      <c r="N27" s="121">
        <v>14484</v>
      </c>
      <c r="O27" s="117"/>
    </row>
    <row r="28" spans="2:15" x14ac:dyDescent="0.3">
      <c r="B28" s="116" t="s">
        <v>176</v>
      </c>
      <c r="C28" s="169">
        <v>1242</v>
      </c>
      <c r="D28" s="169">
        <v>1452</v>
      </c>
      <c r="E28" s="169">
        <v>327</v>
      </c>
      <c r="F28" s="169">
        <v>610</v>
      </c>
      <c r="G28" s="169">
        <v>973</v>
      </c>
      <c r="H28" s="169">
        <v>1644</v>
      </c>
      <c r="I28" s="169">
        <v>2010</v>
      </c>
      <c r="J28" s="169">
        <v>2533</v>
      </c>
      <c r="K28" s="169">
        <v>3019</v>
      </c>
      <c r="L28" s="169">
        <v>3905</v>
      </c>
      <c r="M28" s="169">
        <v>4475</v>
      </c>
      <c r="N28" s="169">
        <v>5264</v>
      </c>
      <c r="O28" s="117"/>
    </row>
    <row r="29" spans="2:15" x14ac:dyDescent="0.3">
      <c r="B29" s="124" t="s">
        <v>14</v>
      </c>
      <c r="C29" s="123">
        <f>C27-C28</f>
        <v>2562</v>
      </c>
      <c r="D29" s="123">
        <f t="shared" ref="D29:N29" si="0">D27-D28</f>
        <v>2660</v>
      </c>
      <c r="E29" s="123">
        <f t="shared" si="0"/>
        <v>3417</v>
      </c>
      <c r="F29" s="123">
        <f t="shared" si="0"/>
        <v>3304</v>
      </c>
      <c r="G29" s="123">
        <f t="shared" si="0"/>
        <v>3732</v>
      </c>
      <c r="H29" s="123">
        <f t="shared" si="0"/>
        <v>6497</v>
      </c>
      <c r="I29" s="123">
        <f t="shared" si="0"/>
        <v>6272</v>
      </c>
      <c r="J29" s="123">
        <f t="shared" si="0"/>
        <v>5859</v>
      </c>
      <c r="K29" s="123">
        <f t="shared" si="0"/>
        <v>5519</v>
      </c>
      <c r="L29" s="123">
        <f t="shared" si="0"/>
        <v>5771</v>
      </c>
      <c r="M29" s="123">
        <f t="shared" si="0"/>
        <v>7147</v>
      </c>
      <c r="N29" s="123">
        <f t="shared" si="0"/>
        <v>9220</v>
      </c>
      <c r="O29" s="117"/>
    </row>
    <row r="30" spans="2:15" x14ac:dyDescent="0.3">
      <c r="B30" s="168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17"/>
    </row>
    <row r="31" spans="2:15" x14ac:dyDescent="0.3">
      <c r="B31" s="116" t="s">
        <v>177</v>
      </c>
      <c r="C31" s="122">
        <v>72</v>
      </c>
      <c r="D31" s="122">
        <v>196</v>
      </c>
      <c r="E31" s="122">
        <v>107</v>
      </c>
      <c r="F31" s="122">
        <v>258</v>
      </c>
      <c r="G31" s="122">
        <v>1405</v>
      </c>
      <c r="H31" s="122">
        <v>210</v>
      </c>
      <c r="I31" s="122">
        <v>140</v>
      </c>
      <c r="J31" s="122">
        <v>183</v>
      </c>
      <c r="K31" s="122">
        <v>426</v>
      </c>
      <c r="L31" s="122">
        <v>1020</v>
      </c>
      <c r="M31" s="122">
        <v>2698</v>
      </c>
      <c r="N31" s="122">
        <v>1254</v>
      </c>
      <c r="O31" s="119"/>
    </row>
    <row r="32" spans="2:15" x14ac:dyDescent="0.3">
      <c r="B32" s="116" t="s">
        <v>16</v>
      </c>
      <c r="C32" s="121">
        <v>1424</v>
      </c>
      <c r="D32" s="121">
        <v>1588</v>
      </c>
      <c r="E32" s="121">
        <v>2712</v>
      </c>
      <c r="F32" s="121">
        <v>2652</v>
      </c>
      <c r="G32" s="121">
        <v>2141</v>
      </c>
      <c r="H32" s="121">
        <v>2569</v>
      </c>
      <c r="I32" s="121">
        <v>2019</v>
      </c>
      <c r="J32" s="121">
        <v>4737</v>
      </c>
      <c r="K32" s="121">
        <v>3248</v>
      </c>
      <c r="L32" s="121">
        <v>4262</v>
      </c>
      <c r="M32" s="121">
        <v>4588</v>
      </c>
      <c r="N32" s="121">
        <v>4725</v>
      </c>
      <c r="O32" s="117"/>
    </row>
    <row r="33" spans="1:15" x14ac:dyDescent="0.3">
      <c r="B33" s="116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17"/>
    </row>
    <row r="34" spans="1:15" x14ac:dyDescent="0.3">
      <c r="B34" s="168" t="s">
        <v>185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17"/>
    </row>
    <row r="35" spans="1:15" x14ac:dyDescent="0.3">
      <c r="B35" s="120" t="s">
        <v>178</v>
      </c>
      <c r="C35" s="117">
        <v>2070</v>
      </c>
      <c r="D35" s="117">
        <v>2259</v>
      </c>
      <c r="E35" s="117">
        <v>1998</v>
      </c>
      <c r="F35" s="117">
        <v>2627</v>
      </c>
      <c r="G35" s="117">
        <v>2658</v>
      </c>
      <c r="H35" s="117">
        <v>3150</v>
      </c>
      <c r="I35" s="117">
        <v>3390</v>
      </c>
      <c r="J35" s="117">
        <v>3799</v>
      </c>
      <c r="K35" s="117">
        <v>6153</v>
      </c>
      <c r="L35" s="117">
        <v>6211</v>
      </c>
      <c r="M35" s="117">
        <v>5923</v>
      </c>
      <c r="N35" s="117">
        <v>6719</v>
      </c>
      <c r="O35" s="117"/>
    </row>
    <row r="36" spans="1:15" x14ac:dyDescent="0.3">
      <c r="B36" s="120" t="s">
        <v>213</v>
      </c>
      <c r="C36" s="121">
        <v>1110</v>
      </c>
      <c r="D36" s="121">
        <v>1182</v>
      </c>
      <c r="E36" s="121">
        <v>1187</v>
      </c>
      <c r="F36" s="121">
        <v>1447</v>
      </c>
      <c r="G36" s="121">
        <v>1731</v>
      </c>
      <c r="H36" s="121">
        <v>1907</v>
      </c>
      <c r="I36" s="121">
        <v>1795</v>
      </c>
      <c r="J36" s="121">
        <v>2602</v>
      </c>
      <c r="K36" s="121">
        <v>3871</v>
      </c>
      <c r="L36" s="121">
        <v>4637</v>
      </c>
      <c r="M36" s="121">
        <v>4889</v>
      </c>
      <c r="N36" s="121">
        <v>4314</v>
      </c>
      <c r="O36" s="117"/>
    </row>
    <row r="37" spans="1:15" x14ac:dyDescent="0.3">
      <c r="B37" s="120" t="s">
        <v>179</v>
      </c>
      <c r="C37" s="121">
        <v>229</v>
      </c>
      <c r="D37" s="121">
        <v>204</v>
      </c>
      <c r="E37" s="121">
        <v>424</v>
      </c>
      <c r="F37" s="121">
        <v>801</v>
      </c>
      <c r="G37" s="121">
        <v>405</v>
      </c>
      <c r="H37" s="121">
        <v>445</v>
      </c>
      <c r="I37" s="121">
        <v>783</v>
      </c>
      <c r="J37" s="121">
        <v>611</v>
      </c>
      <c r="K37" s="121">
        <v>864</v>
      </c>
      <c r="L37" s="121">
        <v>844</v>
      </c>
      <c r="M37" s="121">
        <v>1084</v>
      </c>
      <c r="N37" s="121">
        <v>782</v>
      </c>
      <c r="O37" s="117"/>
    </row>
    <row r="38" spans="1:15" x14ac:dyDescent="0.3">
      <c r="B38" s="120" t="s">
        <v>180</v>
      </c>
      <c r="C38" s="121">
        <v>7</v>
      </c>
      <c r="D38" s="121">
        <v>8</v>
      </c>
      <c r="E38" s="121">
        <v>9</v>
      </c>
      <c r="F38" s="121">
        <v>14</v>
      </c>
      <c r="G38" s="121">
        <v>13</v>
      </c>
      <c r="H38" s="121">
        <v>16</v>
      </c>
      <c r="I38" s="121">
        <v>12</v>
      </c>
      <c r="J38" s="121">
        <v>12</v>
      </c>
      <c r="K38" s="121">
        <v>8</v>
      </c>
      <c r="L38" s="121">
        <v>12</v>
      </c>
      <c r="M38" s="121">
        <v>17</v>
      </c>
      <c r="N38" s="121">
        <v>22</v>
      </c>
      <c r="O38" s="117"/>
    </row>
    <row r="39" spans="1:15" x14ac:dyDescent="0.3">
      <c r="B39" s="118" t="s">
        <v>181</v>
      </c>
      <c r="C39" s="122">
        <v>603</v>
      </c>
      <c r="D39" s="122">
        <v>817</v>
      </c>
      <c r="E39" s="122">
        <v>705</v>
      </c>
      <c r="F39" s="122">
        <v>1303</v>
      </c>
      <c r="G39" s="122">
        <v>1678</v>
      </c>
      <c r="H39" s="122">
        <v>1456</v>
      </c>
      <c r="I39" s="122">
        <v>1727</v>
      </c>
      <c r="J39" s="122">
        <v>2554</v>
      </c>
      <c r="K39" s="122">
        <v>2869</v>
      </c>
      <c r="L39" s="122">
        <v>3024</v>
      </c>
      <c r="M39" s="122">
        <v>3555</v>
      </c>
      <c r="N39" s="122">
        <v>3319</v>
      </c>
      <c r="O39" s="119"/>
    </row>
    <row r="40" spans="1:15" ht="15" thickBot="1" x14ac:dyDescent="0.35">
      <c r="B40" s="166" t="s">
        <v>75</v>
      </c>
      <c r="C40" s="167">
        <v>8075</v>
      </c>
      <c r="D40" s="167">
        <v>8914</v>
      </c>
      <c r="E40" s="167">
        <v>10559</v>
      </c>
      <c r="F40" s="167">
        <v>12405</v>
      </c>
      <c r="G40" s="167">
        <v>13763</v>
      </c>
      <c r="H40" s="167">
        <v>16249</v>
      </c>
      <c r="I40" s="167">
        <v>16138</v>
      </c>
      <c r="J40" s="167">
        <v>20355</v>
      </c>
      <c r="K40" s="167">
        <v>22958</v>
      </c>
      <c r="L40" s="167">
        <v>25779</v>
      </c>
      <c r="M40" s="167">
        <v>29901</v>
      </c>
      <c r="N40" s="166">
        <v>30355</v>
      </c>
      <c r="O40" s="117"/>
    </row>
    <row r="41" spans="1:15" x14ac:dyDescent="0.3">
      <c r="B41" s="171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17"/>
    </row>
    <row r="42" spans="1:15" ht="15.6" x14ac:dyDescent="0.3">
      <c r="A42" s="2" t="s">
        <v>58</v>
      </c>
      <c r="B42" s="95" t="s">
        <v>121</v>
      </c>
      <c r="C42" s="92"/>
      <c r="D42" s="92"/>
      <c r="E42" s="92"/>
      <c r="F42" s="92"/>
      <c r="G42" s="92"/>
      <c r="H42" s="93"/>
      <c r="I42" s="94"/>
      <c r="J42" s="94"/>
      <c r="K42" s="94"/>
      <c r="L42" s="94"/>
      <c r="M42" s="94"/>
      <c r="N42" s="94"/>
    </row>
    <row r="44" spans="1:15" ht="15.6" x14ac:dyDescent="0.3">
      <c r="B44" s="95" t="s">
        <v>133</v>
      </c>
      <c r="C44" s="134">
        <v>2051</v>
      </c>
      <c r="D44" s="134">
        <v>2271</v>
      </c>
      <c r="E44" s="134">
        <v>2848</v>
      </c>
      <c r="F44" s="134">
        <v>3056</v>
      </c>
      <c r="G44" s="134">
        <v>3274</v>
      </c>
      <c r="H44" s="134">
        <v>3861</v>
      </c>
      <c r="I44" s="135">
        <v>4380</v>
      </c>
      <c r="J44" s="135">
        <v>4970</v>
      </c>
      <c r="K44" s="135">
        <v>4957</v>
      </c>
      <c r="L44" s="135">
        <v>6460</v>
      </c>
      <c r="M44" s="135">
        <v>7929</v>
      </c>
      <c r="N44" s="135">
        <v>6390</v>
      </c>
    </row>
    <row r="45" spans="1:15" ht="15.6" x14ac:dyDescent="0.3">
      <c r="B45" s="91" t="s">
        <v>44</v>
      </c>
      <c r="C45" s="130">
        <v>-254</v>
      </c>
      <c r="D45" s="130">
        <v>-155</v>
      </c>
      <c r="E45" s="130">
        <v>-146</v>
      </c>
      <c r="F45" s="130">
        <v>-475</v>
      </c>
      <c r="G45" s="130">
        <v>-483</v>
      </c>
      <c r="H45" s="130">
        <v>-205</v>
      </c>
      <c r="I45" s="131">
        <v>160</v>
      </c>
      <c r="J45" s="131">
        <v>-1342</v>
      </c>
      <c r="K45" s="131">
        <v>-1326</v>
      </c>
      <c r="L45" s="131">
        <v>-834</v>
      </c>
      <c r="M45" s="131">
        <v>-362</v>
      </c>
      <c r="N45" s="131">
        <v>282</v>
      </c>
    </row>
    <row r="46" spans="1:15" ht="15.6" x14ac:dyDescent="0.3">
      <c r="B46" s="91" t="s">
        <v>30</v>
      </c>
      <c r="C46" s="130">
        <v>-231</v>
      </c>
      <c r="D46" s="130">
        <v>-144</v>
      </c>
      <c r="E46" s="130">
        <v>202</v>
      </c>
      <c r="F46" s="130">
        <v>-629</v>
      </c>
      <c r="G46" s="130">
        <v>-39</v>
      </c>
      <c r="H46" s="130">
        <v>-492</v>
      </c>
      <c r="I46" s="131">
        <v>-251</v>
      </c>
      <c r="J46" s="131">
        <v>-409</v>
      </c>
      <c r="K46" s="131">
        <v>-2354</v>
      </c>
      <c r="L46" s="131">
        <v>-56</v>
      </c>
      <c r="M46" s="131">
        <v>315</v>
      </c>
      <c r="N46" s="131">
        <v>-805</v>
      </c>
    </row>
    <row r="47" spans="1:15" ht="15.6" x14ac:dyDescent="0.3">
      <c r="B47" s="91" t="s">
        <v>77</v>
      </c>
      <c r="C47" s="130">
        <v>317</v>
      </c>
      <c r="D47" s="130">
        <v>-151</v>
      </c>
      <c r="E47" s="130">
        <v>142</v>
      </c>
      <c r="F47" s="130">
        <v>501</v>
      </c>
      <c r="G47" s="130">
        <v>442</v>
      </c>
      <c r="H47" s="130">
        <v>287</v>
      </c>
      <c r="I47" s="131">
        <v>-241</v>
      </c>
      <c r="J47" s="131">
        <v>1544</v>
      </c>
      <c r="K47" s="131">
        <v>644</v>
      </c>
      <c r="L47" s="131">
        <v>-539</v>
      </c>
      <c r="M47" s="131">
        <v>269</v>
      </c>
      <c r="N47" s="131">
        <v>-160</v>
      </c>
    </row>
    <row r="48" spans="1:15" ht="15.6" x14ac:dyDescent="0.3">
      <c r="B48" s="91" t="s">
        <v>134</v>
      </c>
      <c r="C48" s="130">
        <v>0</v>
      </c>
      <c r="D48" s="130">
        <v>0</v>
      </c>
      <c r="E48" s="130">
        <v>0</v>
      </c>
      <c r="F48" s="130">
        <v>0</v>
      </c>
      <c r="G48" s="130">
        <v>0</v>
      </c>
      <c r="H48" s="130">
        <v>0</v>
      </c>
      <c r="I48" s="131">
        <v>0</v>
      </c>
      <c r="J48" s="131">
        <v>0</v>
      </c>
      <c r="K48" s="131">
        <v>242</v>
      </c>
      <c r="L48" s="131">
        <v>657</v>
      </c>
      <c r="M48" s="131">
        <v>-212</v>
      </c>
      <c r="N48" s="131">
        <v>114</v>
      </c>
    </row>
    <row r="49" spans="2:14" ht="15.6" x14ac:dyDescent="0.3">
      <c r="B49" s="95" t="s">
        <v>135</v>
      </c>
      <c r="C49" s="128">
        <v>-168</v>
      </c>
      <c r="D49" s="128">
        <v>-450</v>
      </c>
      <c r="E49" s="128">
        <v>198</v>
      </c>
      <c r="F49" s="128">
        <v>-603</v>
      </c>
      <c r="G49" s="128">
        <v>-80</v>
      </c>
      <c r="H49" s="128">
        <v>-410</v>
      </c>
      <c r="I49" s="129">
        <v>-331</v>
      </c>
      <c r="J49" s="129">
        <v>-206</v>
      </c>
      <c r="K49" s="129">
        <v>-2795</v>
      </c>
      <c r="L49" s="129">
        <v>-772</v>
      </c>
      <c r="M49" s="129">
        <v>10</v>
      </c>
      <c r="N49" s="129">
        <v>-570</v>
      </c>
    </row>
    <row r="50" spans="2:14" ht="15.6" x14ac:dyDescent="0.3">
      <c r="B50" s="91" t="s">
        <v>136</v>
      </c>
      <c r="C50" s="130">
        <v>-480</v>
      </c>
      <c r="D50" s="130">
        <v>-633</v>
      </c>
      <c r="E50" s="130">
        <v>-802</v>
      </c>
      <c r="F50" s="130">
        <v>-925</v>
      </c>
      <c r="G50" s="130">
        <v>-1081</v>
      </c>
      <c r="H50" s="130">
        <v>-982</v>
      </c>
      <c r="I50" s="131">
        <v>-1011</v>
      </c>
      <c r="J50" s="131">
        <v>-1080</v>
      </c>
      <c r="K50" s="131">
        <v>-1176</v>
      </c>
      <c r="L50" s="131">
        <v>-1494</v>
      </c>
      <c r="M50" s="131">
        <v>-1835</v>
      </c>
      <c r="N50" s="131">
        <v>-1396</v>
      </c>
    </row>
    <row r="51" spans="2:14" ht="16.2" thickBot="1" x14ac:dyDescent="0.35">
      <c r="B51" s="125" t="s">
        <v>132</v>
      </c>
      <c r="C51" s="126">
        <v>1402</v>
      </c>
      <c r="D51" s="126">
        <v>1188</v>
      </c>
      <c r="E51" s="126">
        <v>2243</v>
      </c>
      <c r="F51" s="126">
        <v>1527</v>
      </c>
      <c r="G51" s="126">
        <v>2113</v>
      </c>
      <c r="H51" s="126">
        <v>2470</v>
      </c>
      <c r="I51" s="127">
        <v>3038</v>
      </c>
      <c r="J51" s="127">
        <v>3683</v>
      </c>
      <c r="K51" s="127">
        <v>986</v>
      </c>
      <c r="L51" s="127">
        <v>4193</v>
      </c>
      <c r="M51" s="127">
        <v>6104</v>
      </c>
      <c r="N51" s="127">
        <v>4424</v>
      </c>
    </row>
    <row r="53" spans="2:14" ht="15.6" x14ac:dyDescent="0.3">
      <c r="B53" s="91" t="s">
        <v>138</v>
      </c>
      <c r="C53" s="96">
        <v>-251</v>
      </c>
      <c r="D53" s="96">
        <v>-454</v>
      </c>
      <c r="E53" s="96">
        <v>-817</v>
      </c>
      <c r="F53" s="96">
        <v>-684</v>
      </c>
      <c r="G53" s="96">
        <v>-1426</v>
      </c>
      <c r="H53" s="96">
        <v>-1151</v>
      </c>
      <c r="I53" s="97">
        <v>-414</v>
      </c>
      <c r="J53" s="97">
        <v>-289</v>
      </c>
      <c r="K53" s="97">
        <v>-551</v>
      </c>
      <c r="L53" s="97">
        <v>-1446</v>
      </c>
      <c r="M53" s="97">
        <v>-2496</v>
      </c>
      <c r="N53" s="97">
        <v>-1830</v>
      </c>
    </row>
    <row r="54" spans="2:14" ht="15.6" x14ac:dyDescent="0.3">
      <c r="B54" s="91" t="s">
        <v>139</v>
      </c>
      <c r="C54" s="130">
        <v>16</v>
      </c>
      <c r="D54" s="130">
        <v>16</v>
      </c>
      <c r="E54" s="130">
        <v>15</v>
      </c>
      <c r="F54" s="130">
        <v>17</v>
      </c>
      <c r="G54" s="130">
        <v>17</v>
      </c>
      <c r="H54" s="130">
        <v>17</v>
      </c>
      <c r="I54" s="131">
        <v>37</v>
      </c>
      <c r="J54" s="131">
        <v>28</v>
      </c>
      <c r="K54" s="131">
        <v>40</v>
      </c>
      <c r="L54" s="131">
        <v>26</v>
      </c>
      <c r="M54" s="131">
        <v>5</v>
      </c>
      <c r="N54" s="131">
        <v>10</v>
      </c>
    </row>
    <row r="55" spans="2:14" ht="15.6" x14ac:dyDescent="0.3">
      <c r="B55" s="91" t="s">
        <v>140</v>
      </c>
      <c r="C55" s="130">
        <v>-872</v>
      </c>
      <c r="D55" s="130">
        <v>-243</v>
      </c>
      <c r="E55" s="130">
        <v>-282</v>
      </c>
      <c r="F55" s="130">
        <v>-153</v>
      </c>
      <c r="G55" s="130">
        <v>-320</v>
      </c>
      <c r="H55" s="130">
        <v>-573</v>
      </c>
      <c r="I55" s="131">
        <v>-25</v>
      </c>
      <c r="J55" s="131">
        <v>-140</v>
      </c>
      <c r="K55" s="131">
        <v>0</v>
      </c>
      <c r="L55" s="131">
        <v>-146</v>
      </c>
      <c r="M55" s="131">
        <v>-212</v>
      </c>
      <c r="N55" s="131">
        <v>-1</v>
      </c>
    </row>
    <row r="56" spans="2:14" ht="15.6" x14ac:dyDescent="0.3">
      <c r="B56" s="91" t="s">
        <v>141</v>
      </c>
      <c r="C56" s="130">
        <v>463</v>
      </c>
      <c r="D56" s="130">
        <v>278</v>
      </c>
      <c r="E56" s="130">
        <v>205</v>
      </c>
      <c r="F56" s="130">
        <v>357</v>
      </c>
      <c r="G56" s="130">
        <v>362</v>
      </c>
      <c r="H56" s="130">
        <v>733</v>
      </c>
      <c r="I56" s="131">
        <v>118</v>
      </c>
      <c r="J56" s="131">
        <v>272</v>
      </c>
      <c r="K56" s="131">
        <v>207</v>
      </c>
      <c r="L56" s="131">
        <v>446</v>
      </c>
      <c r="M56" s="131">
        <v>240</v>
      </c>
      <c r="N56" s="131">
        <v>421</v>
      </c>
    </row>
    <row r="57" spans="2:14" ht="15.6" x14ac:dyDescent="0.3">
      <c r="B57" s="91" t="s">
        <v>142</v>
      </c>
      <c r="C57" s="130">
        <v>14</v>
      </c>
      <c r="D57" s="130">
        <v>11</v>
      </c>
      <c r="E57" s="130">
        <v>15</v>
      </c>
      <c r="F57" s="130">
        <v>32</v>
      </c>
      <c r="G57" s="130">
        <v>39</v>
      </c>
      <c r="H57" s="130">
        <v>40</v>
      </c>
      <c r="I57" s="131">
        <v>65</v>
      </c>
      <c r="J57" s="131">
        <v>73</v>
      </c>
      <c r="K57" s="131">
        <v>77</v>
      </c>
      <c r="L57" s="131">
        <v>87</v>
      </c>
      <c r="M57" s="131">
        <v>135</v>
      </c>
      <c r="N57" s="131">
        <v>155</v>
      </c>
    </row>
    <row r="58" spans="2:14" ht="15.6" x14ac:dyDescent="0.3">
      <c r="B58" s="91" t="s">
        <v>143</v>
      </c>
      <c r="C58" s="130">
        <v>65</v>
      </c>
      <c r="D58" s="130">
        <v>71</v>
      </c>
      <c r="E58" s="130">
        <v>69</v>
      </c>
      <c r="F58" s="130">
        <v>74</v>
      </c>
      <c r="G58" s="130">
        <v>38</v>
      </c>
      <c r="H58" s="130">
        <v>40</v>
      </c>
      <c r="I58" s="131">
        <v>27</v>
      </c>
      <c r="J58" s="131">
        <v>8</v>
      </c>
      <c r="K58" s="131">
        <v>15</v>
      </c>
      <c r="L58" s="131">
        <v>56</v>
      </c>
      <c r="M58" s="131">
        <v>129</v>
      </c>
      <c r="N58" s="131">
        <v>136</v>
      </c>
    </row>
    <row r="59" spans="2:14" ht="15.6" x14ac:dyDescent="0.3">
      <c r="B59" s="91" t="s">
        <v>144</v>
      </c>
      <c r="C59" s="130">
        <v>0</v>
      </c>
      <c r="D59" s="130">
        <v>0</v>
      </c>
      <c r="E59" s="130">
        <v>0</v>
      </c>
      <c r="F59" s="130">
        <v>0</v>
      </c>
      <c r="G59" s="130">
        <v>0</v>
      </c>
      <c r="H59" s="130">
        <v>0</v>
      </c>
      <c r="I59" s="131">
        <v>0</v>
      </c>
      <c r="J59" s="131">
        <v>0</v>
      </c>
      <c r="K59" s="131">
        <v>0</v>
      </c>
      <c r="L59" s="131">
        <v>-180</v>
      </c>
      <c r="M59" s="131">
        <v>0</v>
      </c>
      <c r="N59" s="131">
        <v>0</v>
      </c>
    </row>
    <row r="60" spans="2:14" ht="15.6" x14ac:dyDescent="0.3">
      <c r="B60" s="91" t="s">
        <v>145</v>
      </c>
      <c r="C60" s="130">
        <v>0</v>
      </c>
      <c r="D60" s="130">
        <v>0</v>
      </c>
      <c r="E60" s="130">
        <v>0</v>
      </c>
      <c r="F60" s="130">
        <v>0</v>
      </c>
      <c r="G60" s="130">
        <v>141</v>
      </c>
      <c r="H60" s="130">
        <v>0</v>
      </c>
      <c r="I60" s="131">
        <v>17</v>
      </c>
      <c r="J60" s="131">
        <v>0</v>
      </c>
      <c r="K60" s="131">
        <v>0</v>
      </c>
      <c r="L60" s="131">
        <v>0</v>
      </c>
      <c r="M60" s="131">
        <v>0</v>
      </c>
      <c r="N60" s="131">
        <v>38</v>
      </c>
    </row>
    <row r="61" spans="2:14" ht="15.6" x14ac:dyDescent="0.3">
      <c r="B61" s="91" t="s">
        <v>146</v>
      </c>
      <c r="C61" s="130">
        <v>0</v>
      </c>
      <c r="D61" s="130">
        <v>0</v>
      </c>
      <c r="E61" s="130">
        <v>0</v>
      </c>
      <c r="F61" s="130">
        <v>0</v>
      </c>
      <c r="G61" s="130">
        <v>-525</v>
      </c>
      <c r="H61" s="130">
        <v>0</v>
      </c>
      <c r="I61" s="131">
        <v>0</v>
      </c>
      <c r="J61" s="131">
        <v>0</v>
      </c>
      <c r="K61" s="131">
        <v>0</v>
      </c>
      <c r="L61" s="131">
        <v>0</v>
      </c>
      <c r="M61" s="131">
        <v>0</v>
      </c>
      <c r="N61" s="131">
        <v>0</v>
      </c>
    </row>
    <row r="62" spans="2:14" ht="15.6" x14ac:dyDescent="0.3">
      <c r="B62" s="91" t="s">
        <v>147</v>
      </c>
      <c r="C62" s="130">
        <v>-21</v>
      </c>
      <c r="D62" s="130">
        <v>-144</v>
      </c>
      <c r="E62" s="130">
        <v>-70</v>
      </c>
      <c r="F62" s="130">
        <v>-324</v>
      </c>
      <c r="G62" s="130">
        <v>118</v>
      </c>
      <c r="H62" s="130">
        <v>-24</v>
      </c>
      <c r="I62" s="131">
        <v>-343</v>
      </c>
      <c r="J62" s="131">
        <v>-493</v>
      </c>
      <c r="K62" s="131">
        <v>-105</v>
      </c>
      <c r="L62" s="131">
        <v>-126</v>
      </c>
      <c r="M62" s="131">
        <v>-350</v>
      </c>
      <c r="N62" s="131">
        <v>130</v>
      </c>
    </row>
    <row r="63" spans="2:14" ht="16.2" thickBot="1" x14ac:dyDescent="0.35">
      <c r="B63" s="125" t="s">
        <v>137</v>
      </c>
      <c r="C63" s="126">
        <v>-586</v>
      </c>
      <c r="D63" s="126">
        <v>-465</v>
      </c>
      <c r="E63" s="126">
        <v>-866</v>
      </c>
      <c r="F63" s="126">
        <v>-681</v>
      </c>
      <c r="G63" s="126">
        <v>-1556</v>
      </c>
      <c r="H63" s="126">
        <v>-918</v>
      </c>
      <c r="I63" s="127">
        <v>-518</v>
      </c>
      <c r="J63" s="127">
        <v>-541</v>
      </c>
      <c r="K63" s="127">
        <v>-317</v>
      </c>
      <c r="L63" s="127">
        <v>-1282</v>
      </c>
      <c r="M63" s="127">
        <v>-2548</v>
      </c>
      <c r="N63" s="127">
        <v>-941</v>
      </c>
    </row>
    <row r="65" spans="2:14" ht="15.6" x14ac:dyDescent="0.3">
      <c r="B65" s="91" t="s">
        <v>149</v>
      </c>
      <c r="C65" s="130">
        <v>0</v>
      </c>
      <c r="D65" s="130">
        <v>0</v>
      </c>
      <c r="E65" s="130">
        <v>0</v>
      </c>
      <c r="F65" s="130">
        <v>0</v>
      </c>
      <c r="G65" s="130">
        <v>0</v>
      </c>
      <c r="H65" s="130">
        <v>0</v>
      </c>
      <c r="I65" s="131">
        <v>0</v>
      </c>
      <c r="J65" s="131">
        <v>0</v>
      </c>
      <c r="K65" s="131">
        <v>0</v>
      </c>
      <c r="L65" s="131">
        <v>0</v>
      </c>
      <c r="M65" s="131">
        <v>1</v>
      </c>
      <c r="N65" s="131">
        <v>0</v>
      </c>
    </row>
    <row r="66" spans="2:14" ht="15.6" x14ac:dyDescent="0.3">
      <c r="B66" s="91" t="s">
        <v>150</v>
      </c>
      <c r="C66" s="132">
        <v>44</v>
      </c>
      <c r="D66" s="132">
        <v>239</v>
      </c>
      <c r="E66" s="132">
        <v>8</v>
      </c>
      <c r="F66" s="132">
        <v>271</v>
      </c>
      <c r="G66" s="132">
        <v>10</v>
      </c>
      <c r="H66" s="132">
        <v>243</v>
      </c>
      <c r="I66" s="133">
        <v>18</v>
      </c>
      <c r="J66" s="133">
        <v>155</v>
      </c>
      <c r="K66" s="133">
        <v>418</v>
      </c>
      <c r="L66" s="133">
        <v>254</v>
      </c>
      <c r="M66" s="133">
        <v>101</v>
      </c>
      <c r="N66" s="133">
        <v>415</v>
      </c>
    </row>
    <row r="67" spans="2:14" ht="15.6" x14ac:dyDescent="0.3">
      <c r="B67" s="91" t="s">
        <v>151</v>
      </c>
      <c r="C67" s="132">
        <v>-81</v>
      </c>
      <c r="D67" s="132">
        <v>-86</v>
      </c>
      <c r="E67" s="132">
        <v>-119</v>
      </c>
      <c r="F67" s="132">
        <v>-58</v>
      </c>
      <c r="G67" s="132">
        <v>-54</v>
      </c>
      <c r="H67" s="132">
        <v>-26</v>
      </c>
      <c r="I67" s="133">
        <v>-482</v>
      </c>
      <c r="J67" s="133">
        <v>-14</v>
      </c>
      <c r="K67" s="133">
        <v>-8</v>
      </c>
      <c r="L67" s="133">
        <v>-25</v>
      </c>
      <c r="M67" s="133">
        <v>-98</v>
      </c>
      <c r="N67" s="133">
        <v>-428</v>
      </c>
    </row>
    <row r="68" spans="2:14" x14ac:dyDescent="0.3">
      <c r="B68" s="9" t="s">
        <v>152</v>
      </c>
      <c r="C68">
        <v>-42</v>
      </c>
      <c r="D68">
        <v>-35</v>
      </c>
      <c r="E68">
        <v>-40</v>
      </c>
      <c r="F68">
        <v>-36</v>
      </c>
      <c r="G68">
        <v>-35</v>
      </c>
      <c r="H68">
        <v>-106</v>
      </c>
      <c r="I68">
        <v>-101</v>
      </c>
      <c r="J68">
        <v>-89</v>
      </c>
      <c r="K68">
        <v>-94</v>
      </c>
      <c r="L68">
        <v>-142</v>
      </c>
      <c r="M68">
        <v>-191</v>
      </c>
      <c r="N68">
        <v>-203</v>
      </c>
    </row>
    <row r="69" spans="2:14" x14ac:dyDescent="0.3">
      <c r="B69" s="9" t="s">
        <v>153</v>
      </c>
      <c r="C69">
        <v>-547</v>
      </c>
      <c r="D69">
        <v>-695</v>
      </c>
      <c r="E69">
        <v>-764</v>
      </c>
      <c r="F69">
        <v>-947</v>
      </c>
      <c r="G69" s="172">
        <v>-1218</v>
      </c>
      <c r="H69" s="172">
        <v>-1049</v>
      </c>
      <c r="I69" s="172">
        <v>-2121</v>
      </c>
      <c r="J69">
        <v>-499</v>
      </c>
      <c r="K69" s="172">
        <v>-1763</v>
      </c>
      <c r="L69" s="172">
        <v>-1936</v>
      </c>
      <c r="M69" s="172">
        <v>-2551</v>
      </c>
      <c r="N69" s="172">
        <v>-3140</v>
      </c>
    </row>
    <row r="70" spans="2:14" ht="15.6" x14ac:dyDescent="0.3">
      <c r="B70" s="98" t="s">
        <v>154</v>
      </c>
      <c r="C70" s="131">
        <v>0</v>
      </c>
      <c r="D70" s="131">
        <v>0</v>
      </c>
      <c r="E70" s="131">
        <v>0</v>
      </c>
      <c r="F70" s="131">
        <v>0</v>
      </c>
      <c r="G70" s="131">
        <v>0</v>
      </c>
      <c r="H70" s="131">
        <v>-180</v>
      </c>
      <c r="I70" s="131">
        <v>-179</v>
      </c>
      <c r="J70" s="131">
        <v>-203</v>
      </c>
      <c r="K70" s="131">
        <v>-221</v>
      </c>
      <c r="L70" s="131">
        <v>-256</v>
      </c>
      <c r="M70" s="131">
        <v>-286</v>
      </c>
      <c r="N70" s="131">
        <v>-325</v>
      </c>
    </row>
    <row r="71" spans="2:14" ht="15.6" x14ac:dyDescent="0.3">
      <c r="B71" s="98" t="s">
        <v>155</v>
      </c>
      <c r="C71" s="131">
        <v>0</v>
      </c>
      <c r="D71" s="131">
        <v>0</v>
      </c>
      <c r="E71" s="131">
        <v>66</v>
      </c>
      <c r="F71" s="131">
        <v>13</v>
      </c>
      <c r="G71" s="131">
        <v>-82</v>
      </c>
      <c r="H71" s="131">
        <v>0</v>
      </c>
      <c r="I71" s="131">
        <v>-6</v>
      </c>
      <c r="J71" s="131">
        <v>0</v>
      </c>
      <c r="K71" s="131">
        <v>-140</v>
      </c>
      <c r="L71" s="131">
        <v>-36</v>
      </c>
      <c r="M71" s="131">
        <v>41</v>
      </c>
      <c r="N71" s="131">
        <v>-72</v>
      </c>
    </row>
    <row r="72" spans="2:14" ht="16.2" thickBot="1" x14ac:dyDescent="0.35">
      <c r="B72" s="125" t="s">
        <v>148</v>
      </c>
      <c r="C72" s="126">
        <v>-626</v>
      </c>
      <c r="D72" s="126">
        <v>-576</v>
      </c>
      <c r="E72" s="126">
        <v>-849</v>
      </c>
      <c r="F72" s="126">
        <v>-756</v>
      </c>
      <c r="G72" s="126">
        <v>-1379</v>
      </c>
      <c r="H72" s="126">
        <v>-1117</v>
      </c>
      <c r="I72" s="127">
        <v>-2871</v>
      </c>
      <c r="J72" s="127">
        <v>-650</v>
      </c>
      <c r="K72" s="127">
        <v>-1808</v>
      </c>
      <c r="L72" s="127">
        <v>-2140</v>
      </c>
      <c r="M72" s="127">
        <v>-2982</v>
      </c>
      <c r="N72" s="127">
        <v>-3753</v>
      </c>
    </row>
    <row r="73" spans="2:14" ht="15.6" x14ac:dyDescent="0.3">
      <c r="B73" s="98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2:14" ht="16.2" thickBot="1" x14ac:dyDescent="0.35">
      <c r="B74" s="143" t="s">
        <v>21</v>
      </c>
      <c r="C74" s="126">
        <v>190</v>
      </c>
      <c r="D74" s="126">
        <v>147</v>
      </c>
      <c r="E74" s="126">
        <v>528</v>
      </c>
      <c r="F74" s="126">
        <v>90</v>
      </c>
      <c r="G74" s="126">
        <v>-822</v>
      </c>
      <c r="H74" s="126">
        <v>434</v>
      </c>
      <c r="I74" s="126">
        <v>-351</v>
      </c>
      <c r="J74" s="127">
        <v>2492</v>
      </c>
      <c r="K74" s="127">
        <v>-1138</v>
      </c>
      <c r="L74" s="127">
        <v>771</v>
      </c>
      <c r="M74" s="127">
        <v>573</v>
      </c>
      <c r="N74" s="127">
        <v>-270</v>
      </c>
    </row>
    <row r="75" spans="2:14" ht="15.6" x14ac:dyDescent="0.3">
      <c r="B75" s="98" t="s">
        <v>156</v>
      </c>
      <c r="C75" s="131">
        <v>1167</v>
      </c>
      <c r="D75" s="131">
        <v>750</v>
      </c>
      <c r="E75" s="131">
        <v>1441</v>
      </c>
      <c r="F75" s="131">
        <v>860</v>
      </c>
      <c r="G75" s="131">
        <v>705</v>
      </c>
      <c r="H75" s="131">
        <v>1336</v>
      </c>
      <c r="I75" s="131">
        <v>2661</v>
      </c>
      <c r="J75" s="131">
        <v>3422</v>
      </c>
      <c r="K75" s="131">
        <v>475</v>
      </c>
      <c r="L75" s="131">
        <v>2774</v>
      </c>
      <c r="M75" s="131">
        <v>3613</v>
      </c>
      <c r="N75" s="131">
        <v>2604</v>
      </c>
    </row>
    <row r="76" spans="2:14" ht="15.6" x14ac:dyDescent="0.3">
      <c r="B76" s="98" t="s">
        <v>157</v>
      </c>
      <c r="C76" s="180">
        <v>0.94</v>
      </c>
      <c r="D76" s="180">
        <v>0.81</v>
      </c>
      <c r="E76" s="180">
        <v>1.1200000000000001</v>
      </c>
      <c r="F76" s="180">
        <v>0.82</v>
      </c>
      <c r="G76" s="180">
        <v>1</v>
      </c>
      <c r="H76" s="180">
        <v>0.92</v>
      </c>
      <c r="I76" s="180">
        <v>0.97</v>
      </c>
      <c r="J76" s="180">
        <v>0.98</v>
      </c>
      <c r="K76" s="180">
        <v>0.45</v>
      </c>
      <c r="L76" s="180">
        <v>0.91</v>
      </c>
      <c r="M76" s="180">
        <v>1.05</v>
      </c>
      <c r="N76" s="180">
        <v>0.97</v>
      </c>
    </row>
    <row r="77" spans="2:14" ht="15.6" x14ac:dyDescent="0.3">
      <c r="B77" s="176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</row>
    <row r="78" spans="2:14" ht="15.6" x14ac:dyDescent="0.3">
      <c r="B78" s="176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</row>
    <row r="79" spans="2:14" ht="15.6" x14ac:dyDescent="0.3">
      <c r="B79" s="173"/>
      <c r="C79" s="178"/>
      <c r="D79" s="178"/>
      <c r="E79" s="178"/>
      <c r="F79" s="178"/>
      <c r="G79" s="178"/>
      <c r="H79" s="178"/>
      <c r="I79" s="175"/>
      <c r="J79" s="175"/>
      <c r="K79" s="175"/>
      <c r="L79" s="175"/>
      <c r="M79" s="175"/>
      <c r="N79" s="175"/>
    </row>
    <row r="81" spans="2:14" ht="15.6" x14ac:dyDescent="0.3"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</row>
    <row r="82" spans="2:14" ht="15.6" x14ac:dyDescent="0.3">
      <c r="B82" s="174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</row>
    <row r="83" spans="2:14" ht="15.6" x14ac:dyDescent="0.3">
      <c r="B83" s="176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</row>
    <row r="84" spans="2:14" ht="15.6" x14ac:dyDescent="0.3">
      <c r="B84" s="176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Financials&gt;</vt:lpstr>
      <vt:lpstr>HistoricalsFS</vt:lpstr>
      <vt:lpstr>Basic Forecasting</vt:lpstr>
      <vt:lpstr>Ratio Analysis</vt:lpstr>
      <vt:lpstr>DCF&gt;&gt;&gt;</vt:lpstr>
      <vt:lpstr>DCF</vt:lpstr>
      <vt:lpstr>WACC</vt:lpstr>
      <vt:lpstr>Intrinsic Growth</vt:lpstr>
      <vt:lpstr>RM</vt:lpstr>
      <vt:lpstr>Data Room&gt;&gt;&gt;</vt:lpstr>
      <vt:lpstr>Data Sheet</vt:lpstr>
      <vt:lpstr>Raw FS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Yashika Vasudev</cp:lastModifiedBy>
  <cp:lastPrinted>2026-04-24T14:16:27Z</cp:lastPrinted>
  <dcterms:created xsi:type="dcterms:W3CDTF">2012-08-17T09:55:37Z</dcterms:created>
  <dcterms:modified xsi:type="dcterms:W3CDTF">2026-04-24T14:16:59Z</dcterms:modified>
</cp:coreProperties>
</file>